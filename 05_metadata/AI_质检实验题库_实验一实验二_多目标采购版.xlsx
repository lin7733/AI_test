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activeTab="4"/>
  </bookViews>
  <sheets>
    <sheet name="README" sheetId="1" r:id="rId1"/>
    <sheet name="Codebook" sheetId="2" r:id="rId2"/>
    <sheet name="题库总表" sheetId="3" r:id="rId3"/>
    <sheet name="Exp2_多目标采购" sheetId="4" r:id="rId4"/>
    <sheet name="Practice" sheetId="5" r:id="rId5"/>
  </sheets>
  <definedNames>
    <definedName name="_xlnm._FilterDatabase" localSheetId="2" hidden="1">题库总表!$A$3:$S$51</definedName>
    <definedName name="_xlnm._FilterDatabase" localSheetId="3" hidden="1">Exp2_多目标采购!$A$3:$AB$51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<sst xmlns="http://schemas.openxmlformats.org/spreadsheetml/2006/main" count="1713" uniqueCount="438">
  <si>
    <t>AI辅助质检实验题库（实验一 + 实验二多目标采购版）</t>
  </si>
  <si>
    <t>使用说明</t>
  </si>
  <si>
    <t>1. 本工作簿包含当前 app 可兼容的实验一题库，以及重构后的实验二多目标采购题库。</t>
  </si>
  <si>
    <t>2. 题库总表 sheet 名为“题库总表”，可直接对应你当前代码里读取的 sheet_name='题库总表'。</t>
  </si>
  <si>
    <t>3. Exp2_多目标采购 为实验二重构版：先看质量分，再综合成本做采购判断。</t>
  </si>
  <si>
    <t>4. 当前图片源路径均为占位路径 TO_FILL_*，需要替换为你本地真实图片文件名。</t>
  </si>
  <si>
    <t>5. Practice 中提供 8 道练习题：实验一 4 道、实验二 4 道，均附反馈文本。</t>
  </si>
  <si>
    <t>实验二隐藏规则（供研究者）</t>
  </si>
  <si>
    <t>题量摘要（自动统计）</t>
  </si>
  <si>
    <t>参数</t>
  </si>
  <si>
    <t>值</t>
  </si>
  <si>
    <t>备注</t>
  </si>
  <si>
    <t>指标</t>
  </si>
  <si>
    <t>公式</t>
  </si>
  <si>
    <t>结果</t>
  </si>
  <si>
    <t>质量权重</t>
  </si>
  <si>
    <t>默认不向被试展示</t>
  </si>
  <si>
    <t>实验一正式题数</t>
  </si>
  <si>
    <t>成本权重</t>
  </si>
  <si>
    <t>实验二正式题数</t>
  </si>
  <si>
    <t>质量门槛</t>
  </si>
  <si>
    <t>低于门槛直接不采购</t>
  </si>
  <si>
    <t>练习题数</t>
  </si>
  <si>
    <t>采购阈值</t>
  </si>
  <si>
    <t>质量过线后比较综合分</t>
  </si>
  <si>
    <t>实验二 correct</t>
  </si>
  <si>
    <t>实验二 incorrect</t>
  </si>
  <si>
    <t>实验二 boundary</t>
  </si>
  <si>
    <t>Codebook（变量字典）</t>
  </si>
  <si>
    <t>变量名</t>
  </si>
  <si>
    <t>所在sheet</t>
  </si>
  <si>
    <t>含义</t>
  </si>
  <si>
    <t>类型/编码</t>
  </si>
  <si>
    <t>说明</t>
  </si>
  <si>
    <t>题号</t>
  </si>
  <si>
    <t>题库总表 / Exp2_多目标采购</t>
  </si>
  <si>
    <t>正式题编号</t>
  </si>
  <si>
    <t>整数</t>
  </si>
  <si>
    <t>实验内部唯一编号</t>
  </si>
  <si>
    <t>图片ID</t>
  </si>
  <si>
    <t>全部</t>
  </si>
  <si>
    <t>图片唯一标识</t>
  </si>
  <si>
    <t>文本</t>
  </si>
  <si>
    <t>建议后续与你真实图片文件名一一对应</t>
  </si>
  <si>
    <t>图片源路径</t>
  </si>
  <si>
    <t>图片相对路径</t>
  </si>
  <si>
    <t>当前为占位路径，需替换</t>
  </si>
  <si>
    <t>产品类别</t>
  </si>
  <si>
    <t>产品大类</t>
  </si>
  <si>
    <t>bottle / capsule / metal_nut</t>
  </si>
  <si>
    <t>与当前 app 结构保持一致</t>
  </si>
  <si>
    <t>复杂度代码</t>
  </si>
  <si>
    <t>题目复杂度</t>
  </si>
  <si>
    <t>low / high</t>
  </si>
  <si>
    <t>便于后续统计</t>
  </si>
  <si>
    <t>真实标签代码</t>
  </si>
  <si>
    <t>题库总表</t>
  </si>
  <si>
    <t>OK/NG 的正确答案</t>
  </si>
  <si>
    <t>1=OK, 0=NG</t>
  </si>
  <si>
    <t>实验一使用</t>
  </si>
  <si>
    <t>AI建议代码</t>
  </si>
  <si>
    <t>AI给出的 OK/NG 建议</t>
  </si>
  <si>
    <t>quality_score</t>
  </si>
  <si>
    <t>Exp2_多目标采购</t>
  </si>
  <si>
    <t>质量得分</t>
  </si>
  <si>
    <t>0-100</t>
  </si>
  <si>
    <t>质量越高越好</t>
  </si>
  <si>
    <t>supplier_price</t>
  </si>
  <si>
    <t>供应商报价</t>
  </si>
  <si>
    <t>数值</t>
  </si>
  <si>
    <t>单位可统一理解为元/件</t>
  </si>
  <si>
    <t>cost_score</t>
  </si>
  <si>
    <t>成本分</t>
  </si>
  <si>
    <t>越便宜分越高；已按类别范围归一化</t>
  </si>
  <si>
    <t>quality_gate</t>
  </si>
  <si>
    <t>固定=60</t>
  </si>
  <si>
    <t>质量未过线则直接不采购</t>
  </si>
  <si>
    <t>weighted_score</t>
  </si>
  <si>
    <t>综合分</t>
  </si>
  <si>
    <t>默认 0.7*质量分 + 0.3*成本分</t>
  </si>
  <si>
    <t>purchase_gt_code</t>
  </si>
  <si>
    <t>采购标准答案</t>
  </si>
  <si>
    <t>1=采购, 0=不采购</t>
  </si>
  <si>
    <t>实验二正式因变量</t>
  </si>
  <si>
    <t>decision_zone</t>
  </si>
  <si>
    <t>题目边界程度</t>
  </si>
  <si>
    <t>clear / boundary</t>
  </si>
  <si>
    <t>boundary 表示更接近阈值</t>
  </si>
  <si>
    <t>suggestion_type</t>
  </si>
  <si>
    <t>AI建议类型</t>
  </si>
  <si>
    <t>correct / incorrect / boundary</t>
  </si>
  <si>
    <t>boundary 用于较高不确定性场景</t>
  </si>
  <si>
    <t>AI是否正确代码</t>
  </si>
  <si>
    <t>AI建议是否正确</t>
  </si>
  <si>
    <t>1=正确, 0=错误</t>
  </si>
  <si>
    <t>ai_correct_code</t>
  </si>
  <si>
    <t>AI建议是否与隐藏标准一致</t>
  </si>
  <si>
    <t>实验二使用</t>
  </si>
  <si>
    <t>实验一题库（兼容当前 app 的字段结构）</t>
  </si>
  <si>
    <t>产品类别中文</t>
  </si>
  <si>
    <t>缺陷类型</t>
  </si>
  <si>
    <t>复杂度</t>
  </si>
  <si>
    <t>真实标签</t>
  </si>
  <si>
    <t>AI建议</t>
  </si>
  <si>
    <t>AI是否正确</t>
  </si>
  <si>
    <t>实验一-无解释呈现</t>
  </si>
  <si>
    <t>实验一-统一解释内容</t>
  </si>
  <si>
    <t>实验二-指标型解释内容</t>
  </si>
  <si>
    <t>实验二-理由型解释内容</t>
  </si>
  <si>
    <t>ground_truth文件路径</t>
  </si>
  <si>
    <t>BOT_OK_L01</t>
  </si>
  <si>
    <t>bottle</t>
  </si>
  <si>
    <t>瓶子</t>
  </si>
  <si>
    <t>无缺陷</t>
  </si>
  <si>
    <t>低复杂</t>
  </si>
  <si>
    <t>low</t>
  </si>
  <si>
    <t>OK（合格）</t>
  </si>
  <si>
    <t>NG（不合格）</t>
  </si>
  <si>
    <t>错误</t>
  </si>
  <si>
    <t>仅显示AI判定：NG（不合格）</t>
  </si>
  <si>
    <t>系统检测到中心区域存在可疑异常特征，瓶体与正常样本存在差异，综合判断为不合格。</t>
  </si>
  <si>
    <t>置信度：64%｜异常面积占比：0.00%｜异常像素：0 px｜主异常位置：中心区域｜异常显著性：低</t>
  </si>
  <si>
    <t>系统在局部扫描中发现与正常模板不一致的可疑区域，主要表现为纹理或边缘响应异常，因此输出不合格。该题为误报样本，解释反映的是AI当时的判断依据。</t>
  </si>
  <si>
    <t>（无缺陷，ground_truth不适用）</t>
  </si>
  <si>
    <t>D:\学习资料\大四\毕业论文\MVTec_AD_Thesis\00_raw\bottle\test\good\003.png</t>
  </si>
  <si>
    <t>BOT_OK_L02</t>
  </si>
  <si>
    <t>正确</t>
  </si>
  <si>
    <t>仅显示AI判定：OK（合格）</t>
  </si>
  <si>
    <t>系统未检测到稳定异常区域，瓶体整体特征处于可接受范围，综合判断为合格。</t>
  </si>
  <si>
    <t>置信度：89%｜异常面积占比：0.00%｜异常像素：0 px｜整体一致性：高｜判定位置：全局扫描</t>
  </si>
  <si>
    <t>系统未检测到稳定且连续的异常区域，瓶体整体轮廓、纹理或表面状态处于可接受波动范围内，因此判定为合格。</t>
  </si>
  <si>
    <t>D:\学习资料\大四\毕业论文\MVTec_AD_Thesis\00_raw\bottle\test\good\004.png</t>
  </si>
  <si>
    <t>BOT_OK_L03</t>
  </si>
  <si>
    <t>置信度：88%｜异常面积占比：0.00%｜异常像素：0 px｜整体一致性：高｜判定位置：全局扫描</t>
  </si>
  <si>
    <t>D:\学习资料\大四\毕业论文\MVTec_AD_Thesis\00_raw\bottle\test\good\007.png</t>
  </si>
  <si>
    <t>BOT_OK_L04</t>
  </si>
  <si>
    <t>置信度：85%｜异常面积占比：0.00%｜异常像素：0 px｜整体一致性：高｜判定位置：全局扫描</t>
  </si>
  <si>
    <t>D:\学习资料\大四\毕业论文\MVTec_AD_Thesis\00_raw\bottle\test\good\001.png</t>
  </si>
  <si>
    <t>BOT_NG_L01</t>
  </si>
  <si>
    <t>污染</t>
  </si>
  <si>
    <t>D:\学习资料\大四\毕业论文\MVTec_AD_Thesis\00_raw\bottle\test\good\006.png</t>
  </si>
  <si>
    <t>BOT_NG_L02</t>
  </si>
  <si>
    <t>大破损</t>
  </si>
  <si>
    <t>置信度：86%｜异常面积占比：0.00%｜异常像素：0 px｜整体一致性：高｜判定位置：全局扫描</t>
  </si>
  <si>
    <t>D:\学习资料\大四\毕业论文\MVTec_AD_Thesis\00_raw\bottle\test\good\011.png</t>
  </si>
  <si>
    <t>BOT_NG_L03</t>
  </si>
  <si>
    <t>小破损</t>
  </si>
  <si>
    <t>置信度：65%｜异常面积占比：0.00%｜异常像素：0 px｜主异常位置：中心区域｜异常显著性：低</t>
  </si>
  <si>
    <t>D:\学习资料\大四\毕业论文\MVTec_AD_Thesis\00_raw\bottle\test\good\012.png</t>
  </si>
  <si>
    <t>BOT_NG_L04</t>
  </si>
  <si>
    <t>置信度：91%｜异常面积占比：0.00%｜异常像素：0 px｜整体一致性：高｜判定位置：全局扫描</t>
  </si>
  <si>
    <t>D:\学习资料\大四\毕业论文\MVTec_AD_Thesis\00_raw\bottle\test\good\002.png</t>
  </si>
  <si>
    <t>BOT_OK_H01</t>
  </si>
  <si>
    <t>高复杂</t>
  </si>
  <si>
    <t>high</t>
  </si>
  <si>
    <t>BOT_OK_H02</t>
  </si>
  <si>
    <t>BOT_OK_H03</t>
  </si>
  <si>
    <t>BOT_OK_H04</t>
  </si>
  <si>
    <t>BOT_NG_H01</t>
  </si>
  <si>
    <t>系统检测到右侧存在可疑异常特征，瓶体与正常样本存在差异，综合判断为不合格。</t>
  </si>
  <si>
    <t>置信度：92%｜异常面积占比：3.33%｜异常像素：27,013 px｜主异常位置：右侧｜异常显著性：高</t>
  </si>
  <si>
    <t>系统在右侧检测到污染/附着异常，瓶体与正常模板相比存在可分辨差异，异常区域约占图像3.33%。综合异常位置、面积与形态特征，判定为不合格。</t>
  </si>
  <si>
    <t>D:\学习资料\大四\毕业论文\MVTec_AD_Thesis\00_raw\bottle\ground_truth\contamination\019_mask.png</t>
  </si>
  <si>
    <t>D:\学习资料\大四\毕业论文\MVTec_AD_Thesis\00_raw\bottle\test\contamination\019.png</t>
  </si>
  <si>
    <t>BOT_NG_H02</t>
  </si>
  <si>
    <t>置信度：59%｜异常面积占比：0.88%｜异常像素：7,166 px｜整体一致性：中｜判定位置：全局扫描</t>
  </si>
  <si>
    <t>系统未检测到足够显著的异常信号，当前可见偏差规模较小（参考异常面积约0.88%）且不具备稳定连续性，因此仍输出合格。该题为漏检样本，解释反映的是AI当时的判断依据。</t>
  </si>
  <si>
    <t>D:\学习资料\大四\毕业论文\MVTec_AD_Thesis\00_raw\bottle\ground_truth\broken_small\000_mask.png</t>
  </si>
  <si>
    <t>D:\学习资料\大四\毕业论文\MVTec_AD_Thesis\00_raw\bottle\test\broken_small\000.png</t>
  </si>
  <si>
    <t>BOT_NG_H03</t>
  </si>
  <si>
    <t>置信度：96%｜异常面积占比：13.78%｜异常像素：111,640 px｜主异常位置：中心区域｜异常显著性：高</t>
  </si>
  <si>
    <t>系统在中心区域检测到污染/附着异常，瓶体与正常模板相比存在可分辨差异，异常区域约占图像13.78%。综合异常位置、面积与形态特征，判定为不合格。</t>
  </si>
  <si>
    <t>D:\学习资料\大四\毕业论文\MVTec_AD_Thesis\00_raw\bottle\ground_truth\contamination\009_mask.png</t>
  </si>
  <si>
    <t>D:\学习资料\大四\毕业论文\MVTec_AD_Thesis\00_raw\bottle\test\contamination\009.png</t>
  </si>
  <si>
    <t>BOT_NG_H04</t>
  </si>
  <si>
    <t>系统检测到左侧存在可疑异常特征，瓶体与正常样本存在差异，综合判断为不合格。</t>
  </si>
  <si>
    <t>置信度：89%｜异常面积占比：1.80%｜异常像素：14,546 px｜主异常位置：左侧｜异常显著性：中</t>
  </si>
  <si>
    <t>系统在左侧检测到轻微破损，瓶体与正常模板相比存在可分辨差异，异常区域约占图像1.80%。综合异常位置、面积与形态特征，判定为不合格。</t>
  </si>
  <si>
    <t>D:\学习资料\大四\毕业论文\MVTec_AD_Thesis\00_raw\bottle\ground_truth\broken_small\014_mask.png</t>
  </si>
  <si>
    <t>D:\学习资料\大四\毕业论文\MVTec_AD_Thesis\00_raw\bottle\test\broken_small\014.png</t>
  </si>
  <si>
    <t>CAP_OK_L01</t>
  </si>
  <si>
    <t>capsule</t>
  </si>
  <si>
    <t>胶囊</t>
  </si>
  <si>
    <t>系统检测到中心区域存在可疑异常特征，胶囊表面与正常样本存在差异，综合判断为不合格。</t>
  </si>
  <si>
    <t>D:\学习资料\大四\毕业论文\MVTec_AD_Thesis\00_raw\capsule\test\good\001.png</t>
  </si>
  <si>
    <t>CAP_OK_L02</t>
  </si>
  <si>
    <t>系统未检测到稳定异常区域，胶囊表面整体特征处于可接受范围，综合判断为合格。</t>
  </si>
  <si>
    <t>系统未检测到稳定且连续的异常区域，胶囊表面整体轮廓、纹理或表面状态处于可接受波动范围内，因此判定为合格。</t>
  </si>
  <si>
    <t>D:\学习资料\大四\毕业论文\MVTec_AD_Thesis\00_raw\capsule\test\good\006.png</t>
  </si>
  <si>
    <t>CAP_OK_L03</t>
  </si>
  <si>
    <t>D:\学习资料\大四\毕业论文\MVTec_AD_Thesis\00_raw\capsule\test\good\007.png</t>
  </si>
  <si>
    <t>CAP_OK_L04</t>
  </si>
  <si>
    <t>D:\学习资料\大四\毕业论文\MVTec_AD_Thesis\00_raw\capsule\test\good\020.png</t>
  </si>
  <si>
    <t>CAP_NG_L01</t>
  </si>
  <si>
    <t>裂缝</t>
  </si>
  <si>
    <t>系统检测到左侧存在可疑异常特征，胶囊表面与正常样本存在差异，综合判断为不合格。</t>
  </si>
  <si>
    <t>置信度：90%｜异常面积占比：2.33%｜异常像素：23,268 px｜主异常位置：左侧｜异常显著性：中</t>
  </si>
  <si>
    <t>系统在左侧检测到裂缝，胶囊表面与正常模板相比存在可分辨差异，异常区域约占图像2.33%。综合异常位置、面积与形态特征，判定为不合格。</t>
  </si>
  <si>
    <t>D:\学习资料\大四\毕业论文\MVTec_AD_Thesis\00_raw\capsule\ground_truth\crack\001_mask.png</t>
  </si>
  <si>
    <t>D:\学习资料\大四\毕业论文\MVTec_AD_Thesis\00_raw\capsule\test\crack\001.png</t>
  </si>
  <si>
    <t>CAP_NG_L02</t>
  </si>
  <si>
    <t>置信度：89%｜异常面积占比：1.80%｜异常像素：17,974 px｜主异常位置：中心区域｜异常显著性：中</t>
  </si>
  <si>
    <t>系统在中心区域检测到裂缝，胶囊表面与正常模板相比存在可分辨差异，异常区域约占图像1.80%。综合异常位置、面积与形态特征，判定为不合格。</t>
  </si>
  <si>
    <t>D:\学习资料\大四\毕业论文\MVTec_AD_Thesis\00_raw\capsule\ground_truth\crack\010_mask.png</t>
  </si>
  <si>
    <t>D:\学习资料\大四\毕业论文\MVTec_AD_Thesis\00_raw\capsule\test\crack\010.png</t>
  </si>
  <si>
    <t>CAP_NG_L03</t>
  </si>
  <si>
    <t>挤压变形</t>
  </si>
  <si>
    <t>置信度：68%｜异常面积占比：6.62%｜异常像素：66,178 px｜整体一致性：中｜判定位置：全局扫描</t>
  </si>
  <si>
    <t>系统未检测到足够显著的异常信号，当前可见偏差规模较小（参考异常面积约6.62%）且不具备稳定连续性，因此仍输出合格。该题为漏检样本，解释反映的是AI当时的判断依据。</t>
  </si>
  <si>
    <t>D:\学习资料\大四\毕业论文\MVTec_AD_Thesis\00_raw\capsule\ground_truth\squeeze\007_mask.png</t>
  </si>
  <si>
    <t>D:\学习资料\大四\毕业论文\MVTec_AD_Thesis\00_raw\capsule\test\squeeze\007.png</t>
  </si>
  <si>
    <t>CAP_NG_L04</t>
  </si>
  <si>
    <t>针孔</t>
  </si>
  <si>
    <t>系统检测到右侧存在可疑异常特征，胶囊表面与正常样本存在差异，综合判断为不合格。</t>
  </si>
  <si>
    <t>置信度：89%｜异常面积占比：1.23%｜异常像素：12,289 px｜主异常位置：右侧｜异常显著性：中</t>
  </si>
  <si>
    <t>系统在右侧检测到针孔，胶囊表面与正常模板相比存在可分辨差异，异常区域约占图像1.23%。综合异常位置、面积与形态特征，判定为不合格。</t>
  </si>
  <si>
    <t>D:\学习资料\大四\毕业论文\MVTec_AD_Thesis\00_raw\capsule\ground_truth\poke\000_mask.png</t>
  </si>
  <si>
    <t>D:\学习资料\大四\毕业论文\MVTec_AD_Thesis\00_raw\capsule\test\poke\000.png</t>
  </si>
  <si>
    <t>CAP_OK_H01</t>
  </si>
  <si>
    <t>置信度：66%｜异常面积占比：0.00%｜异常像素：0 px｜主异常位置：中心区域｜异常显著性：低</t>
  </si>
  <si>
    <t>D:\学习资料\大四\毕业论文\MVTec_AD_Thesis\00_raw\capsule\test\good\002.png</t>
  </si>
  <si>
    <t>CAP_OK_H02</t>
  </si>
  <si>
    <t>D:\学习资料\大四\毕业论文\MVTec_AD_Thesis\00_raw\capsule\test\good\005.png</t>
  </si>
  <si>
    <t>CAP_OK_H03</t>
  </si>
  <si>
    <t>D:\学习资料\大四\毕业论文\MVTec_AD_Thesis\00_raw\capsule\test\good\012.png</t>
  </si>
  <si>
    <t>CAP_OK_H04</t>
  </si>
  <si>
    <t>置信度：90%｜异常面积占比：0.00%｜异常像素：0 px｜整体一致性：高｜判定位置：全局扫描</t>
  </si>
  <si>
    <t>D:\学习资料\大四\毕业论文\MVTec_AD_Thesis\00_raw\capsule\test\good\014.png</t>
  </si>
  <si>
    <t>CAP_NG_H01</t>
  </si>
  <si>
    <t>置信度：87%｜异常面积占比：0.16%｜异常像素：1,607 px｜主异常位置：中心区域｜异常显著性：低</t>
  </si>
  <si>
    <t>系统在中心区域检测到针孔，胶囊表面与正常模板相比存在可分辨差异，异常区域约占图像0.16%。综合异常位置、面积与形态特征，判定为不合格。</t>
  </si>
  <si>
    <t>D:\学习资料\大四\毕业论文\MVTec_AD_Thesis\00_raw\capsule\ground_truth\poke\006_mask.png</t>
  </si>
  <si>
    <t>D:\学习资料\大四\毕业论文\MVTec_AD_Thesis\00_raw\capsule\test\poke\006.png</t>
  </si>
  <si>
    <t>CAP_NG_H02</t>
  </si>
  <si>
    <t>置信度：86%｜异常面积占比：0.29%｜异常像素：2,906 px｜主异常位置：右侧｜异常显著性：低</t>
  </si>
  <si>
    <t>系统在右侧检测到针孔，胶囊表面与正常模板相比存在可分辨差异，异常区域约占图像0.29%。综合异常位置、面积与形态特征，判定为不合格。</t>
  </si>
  <si>
    <t>D:\学习资料\大四\毕业论文\MVTec_AD_Thesis\00_raw\capsule\ground_truth\poke\012_mask.png</t>
  </si>
  <si>
    <t>D:\学习资料\大四\毕业论文\MVTec_AD_Thesis\00_raw\capsule\test\poke\012.png</t>
  </si>
  <si>
    <t>CAP_NG_H03</t>
  </si>
  <si>
    <t>划痕</t>
  </si>
  <si>
    <t>置信度：60%｜异常面积占比：0.58%｜异常像素：5,762 px｜整体一致性：中｜判定位置：全局扫描</t>
  </si>
  <si>
    <t>系统未检测到足够显著的异常信号，当前可见偏差规模较小（参考异常面积约0.58%）且不具备稳定连续性，因此仍输出合格。该题为漏检样本，解释反映的是AI当时的判断依据。</t>
  </si>
  <si>
    <t>D:\学习资料\大四\毕业论文\MVTec_AD_Thesis\00_raw\capsule\ground_truth\scratch\002_mask.png</t>
  </si>
  <si>
    <t>D:\学习资料\大四\毕业论文\MVTec_AD_Thesis\00_raw\capsule\test\scratch\002.png</t>
  </si>
  <si>
    <t>CAP_NG_H04</t>
  </si>
  <si>
    <t>置信度：86%｜异常面积占比：0.30%｜异常像素：2,965 px｜主异常位置：中心区域｜异常显著性：低</t>
  </si>
  <si>
    <t>系统在中心区域检测到划痕，胶囊表面与正常模板相比存在可分辨差异，异常区域约占图像0.30%。综合异常位置、面积与形态特征，判定为不合格。</t>
  </si>
  <si>
    <t>D:\学习资料\大四\毕业论文\MVTec_AD_Thesis\00_raw\capsule\ground_truth\scratch\005_mask.png</t>
  </si>
  <si>
    <t>D:\学习资料\大四\毕业论文\MVTec_AD_Thesis\00_raw\capsule\test\scratch\005.png</t>
  </si>
  <si>
    <t>MET_OK_L01</t>
  </si>
  <si>
    <t>metal_nut</t>
  </si>
  <si>
    <t>金属螺母</t>
  </si>
  <si>
    <t>系统未检测到稳定异常区域，螺母表面与边缘整体特征处于可接受范围，综合判断为合格。</t>
  </si>
  <si>
    <t>系统未检测到稳定且连续的异常区域，螺母表面与边缘整体轮廓、纹理或表面状态处于可接受波动范围内，因此判定为合格。</t>
  </si>
  <si>
    <t>D:\学习资料\大四\毕业论文\MVTec_AD_Thesis\00_raw\metal_nut\test\good\004.png</t>
  </si>
  <si>
    <t>MET_OK_L02</t>
  </si>
  <si>
    <t>系统检测到中心区域存在可疑异常特征，螺母表面与边缘与正常样本存在差异，综合判断为不合格。</t>
  </si>
  <si>
    <t>D:\学习资料\大四\毕业论文\MVTec_AD_Thesis\00_raw\metal_nut\test\good\009.png</t>
  </si>
  <si>
    <t>MET_OK_L03</t>
  </si>
  <si>
    <t>D:\学习资料\大四\毕业论文\MVTec_AD_Thesis\00_raw\metal_nut\test\good\016.png</t>
  </si>
  <si>
    <t>MET_OK_L04</t>
  </si>
  <si>
    <t>D:\学习资料\大四\毕业论文\MVTec_AD_Thesis\00_raw\metal_nut\test\good\020.png</t>
  </si>
  <si>
    <t>MET_NG_L01</t>
  </si>
  <si>
    <t>弯曲</t>
  </si>
  <si>
    <t>系统检测到上部存在可疑异常特征，螺母表面与边缘与正常样本存在差异，综合判断为不合格。</t>
  </si>
  <si>
    <t>置信度：94%｜异常面积占比：4.70%｜异常像素：23,025 px｜主异常位置：上部｜异常显著性：高</t>
  </si>
  <si>
    <t>系统在上部检测到弯曲变形，螺母表面与边缘与正常模板相比存在可分辨差异，异常区域约占图像4.70%。综合异常位置、面积与形态特征，判定为不合格。</t>
  </si>
  <si>
    <t>D:\学习资料\大四\毕业论文\MVTec_AD_Thesis\00_raw\metal_nut\ground_truth\bent\000_mask.png</t>
  </si>
  <si>
    <t>D:\学习资料\大四\毕业论文\MVTec_AD_Thesis\00_raw\metal_nut\test\bent\000.png</t>
  </si>
  <si>
    <t>MET_NG_L02</t>
  </si>
  <si>
    <t>色差</t>
  </si>
  <si>
    <t>系统检测到右侧存在可疑异常特征，螺母表面与边缘与正常样本存在差异，综合判断为不合格。</t>
  </si>
  <si>
    <t>置信度：90%｜异常面积占比：2.28%｜异常像素：11,183 px｜主异常位置：右侧｜异常显著性：中</t>
  </si>
  <si>
    <t>系统在右侧检测到局部色差，螺母表面与边缘与正常模板相比存在可分辨差异，异常区域约占图像2.28%。综合异常位置、面积与形态特征，判定为不合格。</t>
  </si>
  <si>
    <t>D:\学习资料\大四\毕业论文\MVTec_AD_Thesis\00_raw\metal_nut\ground_truth\color\019_mask.png</t>
  </si>
  <si>
    <t>D:\学习资料\大四\毕业论文\MVTec_AD_Thesis\00_raw\metal_nut\test\color\019.png</t>
  </si>
  <si>
    <t>MET_NG_L03</t>
  </si>
  <si>
    <t>置信度：65%｜异常面积占比：4.49%｜异常像素：22,001 px｜整体一致性：中｜判定位置：全局扫描</t>
  </si>
  <si>
    <t>系统未检测到足够显著的异常信号，当前可见偏差规模较小（参考异常面积约4.49%）且不具备稳定连续性，因此仍输出合格。该题为漏检样本，解释反映的是AI当时的判断依据。</t>
  </si>
  <si>
    <t>D:\学习资料\大四\毕业论文\MVTec_AD_Thesis\00_raw\metal_nut\ground_truth\color\011_mask.png</t>
  </si>
  <si>
    <t>D:\学习资料\大四\毕业论文\MVTec_AD_Thesis\00_raw\metal_nut\test\color\011.png</t>
  </si>
  <si>
    <t>MET_NG_L04</t>
  </si>
  <si>
    <t>系统检测到上部右侧存在可疑异常特征，螺母表面与边缘与正常样本存在差异，综合判断为不合格。</t>
  </si>
  <si>
    <t>置信度：97%｜异常面积占比：6.57%｜异常像素：32,188 px｜主异常位置：上部右侧｜异常显著性：高</t>
  </si>
  <si>
    <t>系统在上部右侧检测到局部色差，螺母表面与边缘与正常模板相比存在可分辨差异，异常区域约占图像6.57%。综合异常位置、面积与形态特征，判定为不合格。</t>
  </si>
  <si>
    <t>D:\学习资料\大四\毕业论文\MVTec_AD_Thesis\00_raw\metal_nut\ground_truth\color\012_mask.png</t>
  </si>
  <si>
    <t>D:\学习资料\大四\毕业论文\MVTec_AD_Thesis\00_raw\metal_nut\test\color\012.png</t>
  </si>
  <si>
    <t>MET_OK_H01</t>
  </si>
  <si>
    <t>系统检测到下部左侧存在可疑异常特征，螺母表面与边缘与正常样本存在差异，综合判断为不合格。</t>
  </si>
  <si>
    <t>置信度：91%｜异常面积占比：2.01%｜异常像素：9,838 px｜主异常位置：下部左侧｜异常显著性：中</t>
  </si>
  <si>
    <t>系统在下部左侧检测到弯曲变形，螺母表面与边缘与正常模板相比存在可分辨差异，异常区域约占图像2.01%。综合异常位置、面积与形态特征，判定为不合格。</t>
  </si>
  <si>
    <t>D:\学习资料\大四\毕业论文\MVTec_AD_Thesis\00_raw\metal_nut\ground_truth\bent\021_mask.png</t>
  </si>
  <si>
    <t>D:\学习资料\大四\毕业论文\MVTec_AD_Thesis\00_raw\metal_nut\test\bent\021.png</t>
  </si>
  <si>
    <t>MET_OK_H02</t>
  </si>
  <si>
    <t>系统检测到下部存在可疑异常特征，螺母表面与边缘与正常样本存在差异，综合判断为不合格。</t>
  </si>
  <si>
    <t>置信度：96%｜异常面积占比：7.37%｜异常像素：36,121 px｜主异常位置：下部｜异常显著性：高</t>
  </si>
  <si>
    <t>系统在下部检测到划痕，螺母表面与边缘与正常模板相比存在可分辨差异，异常区域约占图像7.37%。综合异常位置、面积与形态特征，判定为不合格。</t>
  </si>
  <si>
    <t>D:\学习资料\大四\毕业论文\MVTec_AD_Thesis\00_raw\metal_nut\ground_truth\scratch\022_mask.png</t>
  </si>
  <si>
    <t>D:\学习资料\大四\毕业论文\MVTec_AD_Thesis\00_raw\metal_nut\test\scratch\022.png</t>
  </si>
  <si>
    <t>MET_OK_H03</t>
  </si>
  <si>
    <t>置信度：61%｜异常面积占比：1.07%｜异常像素：5,223 px｜整体一致性：中｜判定位置：全局扫描</t>
  </si>
  <si>
    <t>系统未检测到足够显著的异常信号，当前可见偏差规模较小（参考异常面积约1.07%）且不具备稳定连续性，因此仍输出合格。该题为漏检样本，解释反映的是AI当时的判断依据。</t>
  </si>
  <si>
    <t>D:\学习资料\大四\毕业论文\MVTec_AD_Thesis\00_raw\metal_nut\ground_truth\bent\014_mask.png</t>
  </si>
  <si>
    <t>D:\学习资料\大四\毕业论文\MVTec_AD_Thesis\00_raw\metal_nut\test\bent\014.png</t>
  </si>
  <si>
    <t>MET_OK_H04</t>
  </si>
  <si>
    <t>翻转</t>
  </si>
  <si>
    <t>置信度：97%｜异常面积占比：48.16%｜异常像素：235,963 px｜主异常位置：中心区域｜异常显著性：高</t>
  </si>
  <si>
    <t>系统在中心区域检测到朝向异常，螺母表面与边缘与正常模板相比存在可分辨差异，异常区域约占图像48.16%。综合异常位置、面积与形态特征，判定为不合格。</t>
  </si>
  <si>
    <t>D:\学习资料\大四\毕业论文\MVTec_AD_Thesis\00_raw\metal_nut\ground_truth\flip\022_mask.png</t>
  </si>
  <si>
    <t>D:\学习资料\大四\毕业论文\MVTec_AD_Thesis\00_raw\metal_nut\test\flip\022.png</t>
  </si>
  <si>
    <t>MET_NG_H01</t>
  </si>
  <si>
    <t>MET_NG_H02</t>
  </si>
  <si>
    <t>MET_NG_H03</t>
  </si>
  <si>
    <t>MET_NG_H04</t>
  </si>
  <si>
    <t>实验二题库（多目标采购判断版）</t>
  </si>
  <si>
    <t>quality_weight</t>
  </si>
  <si>
    <t>cost_weight</t>
  </si>
  <si>
    <t>purchase_threshold</t>
  </si>
  <si>
    <t>gate_pass_code</t>
  </si>
  <si>
    <t>purchase_gt_label</t>
  </si>
  <si>
    <t>ai_suggestion_code</t>
  </si>
  <si>
    <t>ai_suggestion_label</t>
  </si>
  <si>
    <t>ai_correct_label</t>
  </si>
  <si>
    <t>采购</t>
  </si>
  <si>
    <t>clear</t>
  </si>
  <si>
    <t>correct</t>
  </si>
  <si>
    <t>质量分=92；成本分=90.0；质量门槛=60；综合分=91.4。AI 建议：采购。</t>
  </si>
  <si>
    <t>该瓶子存在“无缺陷”相关质量表现，结合供应价格 7.6 元/件进行综合评估。在质量达到基本要求后，整体采购价值较高。</t>
  </si>
  <si>
    <t>清晰题</t>
  </si>
  <si>
    <t>质量分=85；成本分=80.0；质量门槛=60；综合分=83.5。AI 建议：采购。</t>
  </si>
  <si>
    <t>该瓶子存在“无缺陷”相关质量表现，结合供应价格 9.2 元/件进行综合评估。在质量达到基本要求后，整体采购价值较高。</t>
  </si>
  <si>
    <t>boundary</t>
  </si>
  <si>
    <t>质量分=78；成本分=75.0；质量门槛=60；综合分=77.1。AI 建议：采购。</t>
  </si>
  <si>
    <t>该瓶子存在“小破损”相关质量表现，结合供应价格 10.0 元/件进行综合评估。在质量达到基本要求后，整体采购价值较高。</t>
  </si>
  <si>
    <t>边界题：接近质量门槛或采购阈值，可用于较高不确定性场景</t>
  </si>
  <si>
    <t>不采购</t>
  </si>
  <si>
    <t>质量分=72；成本分=65.0；质量门槛=60；综合分=69.9。AI 建议：不采购。</t>
  </si>
  <si>
    <t>该瓶子存在“污染”相关质量表现，结合供应价格 11.6 元/件进行综合评估。其质量或成本条件不足以支持采购。</t>
  </si>
  <si>
    <t>质量分=66；成本分=45.0；质量门槛=60；综合分=59.7。AI 建议：不采购。</t>
  </si>
  <si>
    <t>该瓶子存在“大破损”相关质量表现，结合供应价格 14.8 元/件进行综合评估。其质量或成本条件不足以支持采购。</t>
  </si>
  <si>
    <t>质量分=59；成本分=75.0；质量门槛=60；综合分=63.8。AI 建议：采购。</t>
  </si>
  <si>
    <t>质量分=52；成本分=55.0；质量门槛=60；综合分=52.9。AI 建议：不采购。</t>
  </si>
  <si>
    <t>该瓶子存在“污染”相关质量表现，结合供应价格 13.2 元/件进行综合评估。其质量或成本条件不足以支持采购。</t>
  </si>
  <si>
    <t>质量分=44；成本分=30.0；质量门槛=60；综合分=39.8。AI 建议：不采购。</t>
  </si>
  <si>
    <t>该瓶子存在“大破损”相关质量表现，结合供应价格 17.2 元/件进行综合评估。其质量或成本条件不足以支持采购。</t>
  </si>
  <si>
    <t>质量分=83；成本分=80.0；质量门槛=60；综合分=82.1。AI 建议：采购。</t>
  </si>
  <si>
    <t>质量分=76；成本分=65.0；质量门槛=60；综合分=72.7。AI 建议：不采购。</t>
  </si>
  <si>
    <t>该瓶子存在“大破损”相关质量表现，结合供应价格 11.6 元/件进行综合评估。其质量或成本条件不足以支持采购。</t>
  </si>
  <si>
    <t>质量分=71；成本分=55.0；质量门槛=60；综合分=66.2。AI 建议：不采购。</t>
  </si>
  <si>
    <t>该瓶子存在“小破损”相关质量表现，结合供应价格 13.2 元/件进行综合评估。其质量或成本条件不足以支持采购。</t>
  </si>
  <si>
    <t>质量分=68；成本分=41.9；质量门槛=60；综合分=60.2。AI 建议：不采购。</t>
  </si>
  <si>
    <t>该瓶子存在“污染”相关质量表现，结合供应价格 15.3 元/件进行综合评估。其质量或成本条件不足以支持采购。</t>
  </si>
  <si>
    <t>质量分=63；成本分=30.0；质量门槛=60；综合分=53.1。AI 建议：采购。</t>
  </si>
  <si>
    <t>该瓶子存在“大破损”相关质量表现，结合供应价格 17.2 元/件进行综合评估。在质量达到基本要求后，整体采购价值较高。</t>
  </si>
  <si>
    <t>质量分=61；成本分=21.9；质量门槛=60；综合分=49.3。AI 建议：不采购。</t>
  </si>
  <si>
    <t>该瓶子存在“小破损”相关质量表现，结合供应价格 18.5 元/件进行综合评估。其质量或成本条件不足以支持采购。</t>
  </si>
  <si>
    <t>质量分=57；成本分=70.0；质量门槛=60；综合分=60.9。AI 建议：采购。</t>
  </si>
  <si>
    <t>该瓶子存在“污染”相关质量表现，结合供应价格 10.8 元/件进行综合评估。在质量达到基本要求后，整体采购价值较高。</t>
  </si>
  <si>
    <t>质量分=54；成本分=50.0；质量门槛=60；综合分=52.8。AI 建议：不采购。</t>
  </si>
  <si>
    <t>该瓶子存在“大破损”相关质量表现，结合供应价格 14.0 元/件进行综合评估。其质量或成本条件不足以支持采购。</t>
  </si>
  <si>
    <t>该胶囊存在“无缺陷”相关质量表现，结合供应价格 9.8 元/件进行综合评估。在质量达到基本要求后，整体采购价值较高。</t>
  </si>
  <si>
    <t>该胶囊存在“无缺陷”相关质量表现，结合供应价格 11.6 元/件进行综合评估。在质量达到基本要求后，整体采购价值较高。</t>
  </si>
  <si>
    <t>该胶囊存在“压痕”相关质量表现，结合供应价格 12.5 元/件进行综合评估。在质量达到基本要求后，整体采购价值较高。</t>
  </si>
  <si>
    <t>该胶囊存在“划痕”相关质量表现，结合供应价格 14.3 元/件进行综合评估。其质量或成本条件不足以支持采购。</t>
  </si>
  <si>
    <t>该胶囊存在“裂缝”相关质量表现，结合供应价格 17.9 元/件进行综合评估。其质量或成本条件不足以支持采购。</t>
  </si>
  <si>
    <t>该胶囊存在“渗漏”相关质量表现，结合供应价格 12.5 元/件进行综合评估。在质量达到基本要求后，整体采购价值较高。</t>
  </si>
  <si>
    <t>该胶囊存在“压痕”相关质量表现，结合供应价格 16.1 元/件进行综合评估。其质量或成本条件不足以支持采购。</t>
  </si>
  <si>
    <t>该胶囊存在“划痕”相关质量表现，结合供应价格 20.6 元/件进行综合评估。其质量或成本条件不足以支持采购。</t>
  </si>
  <si>
    <t>该胶囊存在“渗漏”相关质量表现，结合供应价格 14.3 元/件进行综合评估。其质量或成本条件不足以支持采购。</t>
  </si>
  <si>
    <t>质量分=68；成本分=42.2；质量门槛=60；综合分=60.3。AI 建议：不采购。</t>
  </si>
  <si>
    <t>该胶囊存在“划痕”相关质量表现，结合供应价格 18.4 元/件进行综合评估。其质量或成本条件不足以支持采购。</t>
  </si>
  <si>
    <t>该胶囊存在“裂缝”相关质量表现，结合供应价格 20.6 元/件进行综合评估。在质量达到基本要求后，整体采购价值较高。</t>
  </si>
  <si>
    <t>质量分=61；成本分=22.2；质量门槛=60；综合分=49.4。AI 建议：不采购。</t>
  </si>
  <si>
    <t>该胶囊存在“渗漏”相关质量表现，结合供应价格 22.0 元/件进行综合评估。其质量或成本条件不足以支持采购。</t>
  </si>
  <si>
    <t>该胶囊存在“压痕”相关质量表现，结合供应价格 13.4 元/件进行综合评估。在质量达到基本要求后，整体采购价值较高。</t>
  </si>
  <si>
    <t>该胶囊存在“划痕”相关质量表现，结合供应价格 17.0 元/件进行综合评估。其质量或成本条件不足以支持采购。</t>
  </si>
  <si>
    <t>该金属螺母存在“无缺陷”相关质量表现，结合供应价格 6.3 元/件进行综合评估。在质量达到基本要求后，整体采购价值较高。</t>
  </si>
  <si>
    <t>该金属螺母存在“无缺陷”相关质量表现，结合供应价格 7.6 元/件进行综合评估。在质量达到基本要求后，整体采购价值较高。</t>
  </si>
  <si>
    <t>incorrect</t>
  </si>
  <si>
    <t>质量分=78；成本分=75.4；质量门槛=60；综合分=77.2。AI 建议：不采购。</t>
  </si>
  <si>
    <t>该金属螺母存在“翻转”相关质量表现，结合供应价格 8.2 元/件进行综合评估。其质量或成本条件不足以支持采购。</t>
  </si>
  <si>
    <t>一般边界题</t>
  </si>
  <si>
    <t>质量分=72；成本分=64.6；质量门槛=60；综合分=69.8。AI 建议：不采购。</t>
  </si>
  <si>
    <t>该金属螺母存在“划痕”相关质量表现，结合供应价格 9.6 元/件进行综合评估。其质量或成本条件不足以支持采购。</t>
  </si>
  <si>
    <t>质量分=66；成本分=44.6；质量门槛=60；综合分=59.6。AI 建议：不采购。</t>
  </si>
  <si>
    <t>该金属螺母存在“弯曲”相关质量表现，结合供应价格 12.2 元/件进行综合评估。其质量或成本条件不足以支持采购。</t>
  </si>
  <si>
    <t>质量分=59；成本分=75.4；质量门槛=60；综合分=63.9。AI 建议：采购。</t>
  </si>
  <si>
    <t>该金属螺母存在“颜色异常”相关质量表现，结合供应价格 8.2 元/件进行综合评估。在质量达到基本要求后，整体采购价值较高。</t>
  </si>
  <si>
    <t>质量分=52；成本分=54.6；质量门槛=60；综合分=52.8。AI 建议：不采购。</t>
  </si>
  <si>
    <t>该金属螺母存在“翻转”相关质量表现，结合供应价格 10.9 元/件进行综合评估。其质量或成本条件不足以支持采购。</t>
  </si>
  <si>
    <t>该金属螺母存在“划痕”相关质量表现，结合供应价格 14.1 元/件进行综合评估。其质量或成本条件不足以支持采购。</t>
  </si>
  <si>
    <t>质量分=83；成本分=80.0；质量门槛=60；综合分=82.1。AI 建议：不采购。</t>
  </si>
  <si>
    <t>该金属螺母存在“无缺陷”相关质量表现，结合供应价格 7.6 元/件进行综合评估。其质量或成本条件不足以支持采购。</t>
  </si>
  <si>
    <t>质量分=76；成本分=64.6；质量门槛=60；综合分=72.6。AI 建议：采购。</t>
  </si>
  <si>
    <t>该金属螺母存在“颜色异常”相关质量表现，结合供应价格 9.6 元/件进行综合评估。在质量达到基本要求后，整体采购价值较高。</t>
  </si>
  <si>
    <t>质量分=71；成本分=54.6；质量门槛=60；综合分=66.1。AI 建议：采购。</t>
  </si>
  <si>
    <t>该金属螺母存在“翻转”相关质量表现，结合供应价格 10.9 元/件进行综合评估。在质量达到基本要求后，整体采购价值较高。</t>
  </si>
  <si>
    <t>质量分=68；成本分=42.3；质量门槛=60；综合分=60.3。AI 建议：采购。</t>
  </si>
  <si>
    <t>该金属螺母存在“划痕”相关质量表现，结合供应价格 12.5 元/件进行综合评估。在质量达到基本要求后，整体采购价值较高。</t>
  </si>
  <si>
    <t>该金属螺母存在“弯曲”相关质量表现，结合供应价格 14.1 元/件进行综合评估。在质量达到基本要求后，整体采购价值较高。</t>
  </si>
  <si>
    <t>质量分=61；成本分=22.3；质量门槛=60；综合分=49.4。AI 建议：采购。</t>
  </si>
  <si>
    <t>该金属螺母存在“颜色异常”相关质量表现，结合供应价格 15.1 元/件进行综合评估。在质量达到基本要求后，整体采购价值较高。</t>
  </si>
  <si>
    <t>该金属螺母存在“翻转”相关质量表现，结合供应价格 8.9 元/件进行综合评估。在质量达到基本要求后，整体采购价值较高。</t>
  </si>
  <si>
    <t>质量分=54；成本分=50.0；质量门槛=60；综合分=52.8。AI 建议：采购。</t>
  </si>
  <si>
    <t>该金属螺母存在“划痕”相关质量表现，结合供应价格 11.5 元/件进行综合评估。在质量达到基本要求后，整体采购价值较高。</t>
  </si>
  <si>
    <t>练习题（实验一 4 道 + 实验二 4 道）</t>
  </si>
  <si>
    <t>练习题号</t>
  </si>
  <si>
    <t>适用实验</t>
  </si>
  <si>
    <t>题号映射</t>
  </si>
  <si>
    <t>任务类型</t>
  </si>
  <si>
    <t>标准答案</t>
  </si>
  <si>
    <t>标准答案代码</t>
  </si>
  <si>
    <t>反馈文本</t>
  </si>
  <si>
    <t>实验一</t>
  </si>
  <si>
    <t>D:\学习资料\大四\毕业论文\MVTec_AD_Thesis\00_raw\practice\1_001.png</t>
  </si>
  <si>
    <t>OK/NG判断</t>
  </si>
  <si>
    <t>正确答案：OK（合格）。AI 认为该瓶子为 OK（合格），依据是图像中未见明显异常，产品外观与标准样本一致。</t>
  </si>
  <si>
    <t>练习题结束后建议向被试展示此反馈</t>
  </si>
  <si>
    <t>D:\学习资料\大四\毕业论文\MVTec_AD_Thesis\00_raw\practice\1_002.png</t>
  </si>
  <si>
    <t>正确答案：NG（不合格）。AI 认为该瓶子为 OK（合格），依据是图像中未见明显异常，产品外观与标准样本一致。</t>
  </si>
  <si>
    <t>D:\学习资料\大四\毕业论文\MVTec_AD_Thesis\00_raw\practice\1_003.png</t>
  </si>
  <si>
    <t>正确答案：OK（合格）。AI 认为该胶囊为 OK（合格），依据是图像中未见明显异常，产品外观与标准样本一致。</t>
  </si>
  <si>
    <t>D:\学习资料\大四\毕业论文\MVTec_AD_Thesis\00_raw\practice\1_004.png</t>
  </si>
  <si>
    <t>正确答案：NG（不合格）。AI 认为该胶囊为 OK（合格），依据是图像中未见明显异常，产品外观与标准样本一致。</t>
  </si>
  <si>
    <t>实验二</t>
  </si>
  <si>
    <t>BOT_BUY_L01</t>
  </si>
  <si>
    <t>D:\学习资料\大四\毕业论文\MVTec_AD_Thesis\00_raw\practice\2_001.png</t>
  </si>
  <si>
    <t>采购判断</t>
  </si>
  <si>
    <t>标准答案：采购。质量分=92，成本分=90.0，综合分=91.4。先检查质量是否过线，再综合考虑成本。</t>
  </si>
  <si>
    <t>BOT_BUY_L08</t>
  </si>
  <si>
    <t>D:\学习资料\大四\毕业论文\MVTec_AD_Thesis\00_raw\practice\2_002.png</t>
  </si>
  <si>
    <t>标准答案：不采购。质量分=44，成本分=30.0，综合分=39.8。先检查质量是否过线，再综合考虑成本。</t>
  </si>
  <si>
    <t>CAP_BUY_L05</t>
  </si>
  <si>
    <t>D:\学习资料\大四\毕业论文\MVTec_AD_Thesis\00_raw\practice\2_003.png</t>
  </si>
  <si>
    <t>标准答案：不采购。质量分=66，成本分=45.0，综合分=59.7。先检查质量是否过线，再综合考虑成本。</t>
  </si>
  <si>
    <t>MET_BUY_L04</t>
  </si>
  <si>
    <t>D:\学习资料\大四\毕业论文\MVTec_AD_Thesis\00_raw\practice\2_004.png</t>
  </si>
  <si>
    <t>标准答案：不采购。质量分=72，成本分=64.6，综合分=69.8。先检查质量是否过线，再综合考虑成本。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</si>
</sst>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1"/>
      <name val="Carlito"/>
      <charset val="134"/>
    </font>
    <font>
      <b/>
      <sz val="14"/>
      <name val="Carlito"/>
      <charset val="134"/>
    </font>
    <font>
      <b/>
      <sz val="10"/>
      <name val="Carlito"/>
      <charset val="134"/>
    </font>
    <font>
      <sz val="10"/>
      <name val="Carlito"/>
      <charset val="134"/>
    </font>
    <font>
      <sz val="9"/>
      <name val="Arial"/>
      <charset val="134"/>
    </font>
    <font>
      <b/>
      <sz val="10"/>
      <color rgb="FFFFFFFF"/>
      <name val="Arial"/>
      <charset val="134"/>
    </font>
    <font>
      <sz val="10"/>
      <name val="微软雅黑"/>
      <charset val="134"/>
    </font>
    <font>
      <b/>
      <sz val="15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EF2FF"/>
        <bgColor rgb="FF000000"/>
      </patternFill>
    </fill>
    <fill>
      <patternFill patternType="solid">
        <fgColor rgb="FFC9DAF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0" applyBorder="1"/>
    <xf numFmtId="0" fontId="1" fillId="2" borderId="0" xfId="49" applyFont="1" applyFill="1" applyAlignment="1">
      <alignment horizontal="left" vertical="center"/>
    </xf>
    <xf numFmtId="0" fontId="2" fillId="2" borderId="0" xfId="49" applyFont="1" applyFill="1" applyBorder="1" applyAlignment="1">
      <alignment horizontal="center" vertical="center" wrapText="1"/>
    </xf>
    <xf numFmtId="0" fontId="3" fillId="0" borderId="0" xfId="49" applyFont="1" applyBorder="1" applyAlignment="1">
      <alignment vertical="center" wrapText="1"/>
    </xf>
    <xf numFmtId="0" fontId="4" fillId="3" borderId="1" xfId="49" applyFont="1" applyFill="1" applyBorder="1" applyAlignment="1">
      <alignment horizontal="left" vertical="center" wrapText="1"/>
    </xf>
    <xf numFmtId="0" fontId="4" fillId="4" borderId="1" xfId="49" applyFont="1" applyFill="1" applyBorder="1" applyAlignment="1">
      <alignment horizontal="left" vertical="center" wrapText="1"/>
    </xf>
    <xf numFmtId="0" fontId="4" fillId="5" borderId="1" xfId="49" applyFont="1" applyFill="1" applyBorder="1" applyAlignment="1">
      <alignment horizontal="left" vertical="center" wrapText="1"/>
    </xf>
    <xf numFmtId="0" fontId="1" fillId="6" borderId="0" xfId="49" applyFont="1" applyFill="1" applyAlignment="1">
      <alignment horizontal="left" vertical="center"/>
    </xf>
    <xf numFmtId="0" fontId="2" fillId="6" borderId="0" xfId="49" applyFont="1" applyFill="1" applyBorder="1" applyAlignment="1">
      <alignment horizontal="center" vertical="center" wrapText="1"/>
    </xf>
    <xf numFmtId="176" fontId="3" fillId="0" borderId="0" xfId="49" applyNumberFormat="1" applyFont="1" applyBorder="1" applyAlignment="1">
      <alignment vertical="center" wrapText="1"/>
    </xf>
    <xf numFmtId="2" fontId="3" fillId="0" borderId="0" xfId="49" applyNumberFormat="1" applyFont="1" applyBorder="1" applyAlignment="1">
      <alignment vertical="center" wrapText="1"/>
    </xf>
    <xf numFmtId="0" fontId="3" fillId="0" borderId="0" xfId="49" applyFont="1" applyAlignment="1">
      <alignment vertical="center" wrapText="1"/>
    </xf>
    <xf numFmtId="0" fontId="4" fillId="5" borderId="1" xfId="49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 wrapText="1"/>
    </xf>
    <xf numFmtId="0" fontId="4" fillId="3" borderId="1" xfId="49" applyFont="1" applyFill="1" applyBorder="1" applyAlignment="1">
      <alignment horizontal="center" vertical="center" wrapText="1"/>
    </xf>
    <xf numFmtId="0" fontId="1" fillId="7" borderId="0" xfId="49" applyFont="1" applyFill="1" applyAlignment="1">
      <alignment horizontal="left" vertical="center"/>
    </xf>
    <xf numFmtId="0" fontId="2" fillId="8" borderId="0" xfId="49" applyFont="1" applyFill="1" applyBorder="1" applyAlignment="1">
      <alignment horizontal="center" vertical="center" wrapText="1"/>
    </xf>
    <xf numFmtId="0" fontId="5" fillId="9" borderId="1" xfId="49" applyFont="1" applyFill="1" applyBorder="1" applyAlignment="1">
      <alignment horizontal="center" vertical="center" wrapText="1"/>
    </xf>
    <xf numFmtId="0" fontId="6" fillId="0" borderId="0" xfId="49" applyFont="1" applyBorder="1" applyAlignment="1">
      <alignment vertical="center" wrapText="1"/>
    </xf>
    <xf numFmtId="0" fontId="4" fillId="10" borderId="1" xfId="49" applyFont="1" applyFill="1" applyBorder="1" applyAlignment="1">
      <alignment horizontal="center" vertical="center" wrapText="1"/>
    </xf>
    <xf numFmtId="0" fontId="4" fillId="11" borderId="1" xfId="49" applyFont="1" applyFill="1" applyBorder="1" applyAlignment="1">
      <alignment horizontal="center" vertical="center" wrapText="1"/>
    </xf>
    <xf numFmtId="0" fontId="1" fillId="12" borderId="0" xfId="49" applyFont="1" applyFill="1" applyAlignment="1">
      <alignment horizontal="left" vertical="center"/>
    </xf>
    <xf numFmtId="0" fontId="2" fillId="7" borderId="0" xfId="49" applyFont="1" applyFill="1" applyBorder="1" applyAlignment="1">
      <alignment horizontal="center" vertical="center" wrapText="1"/>
    </xf>
    <xf numFmtId="0" fontId="3" fillId="0" borderId="0" xfId="49" applyFont="1" applyBorder="1" applyAlignment="1">
      <alignment vertical="center"/>
    </xf>
    <xf numFmtId="0" fontId="7" fillId="13" borderId="0" xfId="49" applyFont="1" applyFill="1" applyAlignment="1">
      <alignment horizontal="left" vertical="center"/>
    </xf>
    <xf numFmtId="0" fontId="8" fillId="2" borderId="0" xfId="49" applyFont="1" applyFill="1" applyAlignment="1">
      <alignment horizontal="left" vertical="center"/>
    </xf>
    <xf numFmtId="0" fontId="8" fillId="14" borderId="0" xfId="49" applyFont="1" applyFill="1" applyAlignment="1">
      <alignment horizontal="left" vertical="center"/>
    </xf>
    <xf numFmtId="0" fontId="8" fillId="15" borderId="0" xfId="49" applyFont="1" applyFill="1" applyAlignment="1">
      <alignment horizontal="left" vertical="center"/>
    </xf>
    <xf numFmtId="0" fontId="2" fillId="15" borderId="0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14" sqref="G14"/>
    </sheetView>
  </sheetViews>
  <sheetFormatPr defaultColWidth="9" defaultRowHeight="14" outlineLevelCol="7"/>
  <cols>
    <col min="1" max="1" width="22" customWidth="1"/>
    <col min="2" max="2" width="14" customWidth="1"/>
    <col min="3" max="3" width="26" customWidth="1"/>
    <col min="4" max="4" width="14" customWidth="1"/>
    <col min="6" max="6" width="20" customWidth="1"/>
    <col min="7" max="7" width="14" customWidth="1"/>
    <col min="8" max="8" width="18" customWidth="1"/>
  </cols>
  <sheetData>
    <row r="1" ht="19" customHeight="1" spans="1:8">
      <c r="A1" s="24" t="s">
        <v>0</v>
      </c>
    </row>
    <row r="3" spans="1:8">
      <c r="A3" s="25" t="s">
        <v>1</v>
      </c>
    </row>
    <row r="4" ht="50" customHeight="1" spans="1:8">
      <c r="A4" s="3" t="s">
        <v>2</v>
      </c>
      <c r="B4" s="3"/>
      <c r="C4" s="3"/>
      <c r="D4" s="3"/>
      <c r="E4" s="3"/>
      <c r="F4" s="3"/>
      <c r="G4" s="3"/>
      <c r="H4" s="3"/>
    </row>
    <row r="5" ht="50" customHeight="1" spans="1:8">
      <c r="A5" s="3" t="s">
        <v>3</v>
      </c>
      <c r="B5" s="3"/>
      <c r="C5" s="3"/>
      <c r="D5" s="3"/>
      <c r="E5" s="3"/>
      <c r="F5" s="3"/>
      <c r="G5" s="3"/>
      <c r="H5" s="3"/>
    </row>
    <row r="6" ht="37.5" customHeight="1" spans="1:8">
      <c r="A6" s="3" t="s">
        <v>4</v>
      </c>
      <c r="B6" s="3"/>
      <c r="C6" s="3"/>
      <c r="D6" s="3"/>
      <c r="E6" s="3"/>
      <c r="F6" s="3"/>
      <c r="G6" s="3"/>
      <c r="H6" s="3"/>
    </row>
    <row r="7" ht="37.5" customHeight="1" spans="1:8">
      <c r="A7" s="3" t="s">
        <v>5</v>
      </c>
      <c r="B7" s="3"/>
      <c r="C7" s="3"/>
      <c r="D7" s="3"/>
      <c r="E7" s="3"/>
      <c r="F7" s="3"/>
      <c r="G7" s="3"/>
      <c r="H7" s="3"/>
    </row>
    <row r="8" ht="37.5" customHeight="1" spans="1:8">
      <c r="A8" s="3" t="s">
        <v>6</v>
      </c>
      <c r="B8" s="3"/>
      <c r="C8" s="3"/>
      <c r="D8" s="3"/>
      <c r="E8" s="3"/>
      <c r="F8" s="3"/>
      <c r="G8" s="3"/>
      <c r="H8" s="3"/>
    </row>
    <row r="10" spans="1:8">
      <c r="A10" s="26" t="s">
        <v>7</v>
      </c>
      <c r="F10" s="27" t="s">
        <v>8</v>
      </c>
    </row>
    <row r="11" spans="1:8">
      <c r="A11" s="8" t="s">
        <v>9</v>
      </c>
      <c r="B11" s="8" t="s">
        <v>10</v>
      </c>
      <c r="C11" s="8" t="s">
        <v>11</v>
      </c>
      <c r="D11" s="8"/>
      <c r="F11" s="28" t="s">
        <v>12</v>
      </c>
      <c r="G11" s="28" t="s">
        <v>13</v>
      </c>
      <c r="H11" s="28" t="s">
        <v>14</v>
      </c>
    </row>
    <row r="12" spans="1:8">
      <c r="A12" s="3" t="s">
        <v>15</v>
      </c>
      <c r="B12" s="10">
        <v>0.7</v>
      </c>
      <c r="C12" s="3" t="s">
        <v>16</v>
      </c>
      <c r="D12" s="3"/>
      <c r="F12" s="3" t="s">
        <v>17</v>
      </c>
      <c r="G12" s="3">
        <f>COUNTA(题库总表!A:A)-2</f>
        <v>48</v>
      </c>
      <c r="H12" s="3"/>
    </row>
    <row r="13" spans="1:8">
      <c r="A13" s="3" t="s">
        <v>18</v>
      </c>
      <c r="B13" s="10">
        <v>0.3</v>
      </c>
      <c r="C13" s="3" t="s">
        <v>16</v>
      </c>
      <c r="D13" s="3"/>
      <c r="F13" s="3" t="s">
        <v>19</v>
      </c>
      <c r="G13" s="3">
        <f>COUNTA(Exp2_多目标采购!A:A)-2</f>
        <v>48</v>
      </c>
      <c r="H13" s="3"/>
    </row>
    <row r="14" spans="1:8">
      <c r="A14" s="3" t="s">
        <v>20</v>
      </c>
      <c r="B14" s="10">
        <v>60</v>
      </c>
      <c r="C14" s="3" t="s">
        <v>21</v>
      </c>
      <c r="D14" s="3"/>
      <c r="F14" s="3" t="s">
        <v>22</v>
      </c>
      <c r="G14" s="3">
        <f>COUNTA(Practice!A:A)-2</f>
        <v>8</v>
      </c>
      <c r="H14" s="3"/>
    </row>
    <row r="15" spans="1:8">
      <c r="A15" s="3" t="s">
        <v>23</v>
      </c>
      <c r="B15" s="10">
        <v>75</v>
      </c>
      <c r="C15" s="3" t="s">
        <v>24</v>
      </c>
      <c r="D15" s="3"/>
      <c r="F15" s="3" t="s">
        <v>25</v>
      </c>
      <c r="G15" s="3">
        <f>COUNTIF(Exp2_多目标采购!W:W,"correct")</f>
        <v>26</v>
      </c>
      <c r="H15" s="3"/>
    </row>
    <row r="16" spans="1:8">
      <c r="F16" s="3" t="s">
        <v>26</v>
      </c>
      <c r="G16" s="3">
        <f>COUNTIF(Exp2_多目标采购!W:W,"incorrect")</f>
        <v>10</v>
      </c>
      <c r="H16" s="3"/>
    </row>
    <row r="17" spans="6:8">
      <c r="F17" s="3" t="s">
        <v>27</v>
      </c>
      <c r="G17" s="3">
        <f>COUNTIF(Exp2_多目标采购!W:W,"boundary")</f>
        <v>12</v>
      </c>
      <c r="H17" s="3"/>
    </row>
  </sheetData>
  <mergeCells count="4">
    <mergeCell ref="A1:H1"/>
    <mergeCell ref="A3:H3"/>
    <mergeCell ref="A10:D10"/>
    <mergeCell ref="F10:H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6" sqref="A16"/>
    </sheetView>
  </sheetViews>
  <sheetFormatPr defaultColWidth="9" defaultRowHeight="14" outlineLevelCol="4"/>
  <cols>
    <col min="1" max="1" width="15" customWidth="1"/>
    <col min="2" max="2" width="23.1666666666667" customWidth="1"/>
    <col min="3" max="3" width="21.9166666666667" customWidth="1"/>
    <col min="4" max="4" width="23.3333333333333" customWidth="1"/>
    <col min="5" max="5" width="29.1666666666667" customWidth="1"/>
  </cols>
  <sheetData>
    <row r="1" ht="18" customHeight="1" spans="1:5">
      <c r="A1" s="21" t="s">
        <v>28</v>
      </c>
    </row>
    <row r="3" spans="1:5">
      <c r="A3" s="22" t="s">
        <v>29</v>
      </c>
      <c r="B3" s="22" t="s">
        <v>30</v>
      </c>
      <c r="C3" s="22" t="s">
        <v>31</v>
      </c>
      <c r="D3" s="22" t="s">
        <v>32</v>
      </c>
      <c r="E3" s="22" t="s">
        <v>33</v>
      </c>
    </row>
    <row r="4" spans="1: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 ht="25" customHeight="1" spans="1: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</row>
    <row r="6" spans="1:5">
      <c r="A6" s="3" t="s">
        <v>44</v>
      </c>
      <c r="B6" s="3" t="s">
        <v>40</v>
      </c>
      <c r="C6" s="3" t="s">
        <v>45</v>
      </c>
      <c r="D6" s="3" t="s">
        <v>42</v>
      </c>
      <c r="E6" s="3" t="s">
        <v>46</v>
      </c>
    </row>
    <row r="7" ht="25" customHeight="1" spans="1:5">
      <c r="A7" s="3" t="s">
        <v>47</v>
      </c>
      <c r="B7" s="3" t="s">
        <v>40</v>
      </c>
      <c r="C7" s="3" t="s">
        <v>48</v>
      </c>
      <c r="D7" s="3" t="s">
        <v>49</v>
      </c>
      <c r="E7" s="3" t="s">
        <v>50</v>
      </c>
    </row>
    <row r="8" spans="1:5">
      <c r="A8" s="3" t="s">
        <v>51</v>
      </c>
      <c r="B8" s="3" t="s">
        <v>40</v>
      </c>
      <c r="C8" s="3" t="s">
        <v>52</v>
      </c>
      <c r="D8" s="3" t="s">
        <v>53</v>
      </c>
      <c r="E8" s="3" t="s">
        <v>54</v>
      </c>
    </row>
    <row r="9" spans="1:5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</row>
    <row r="10" spans="1:5">
      <c r="A10" s="3" t="s">
        <v>60</v>
      </c>
      <c r="B10" s="3" t="s">
        <v>56</v>
      </c>
      <c r="C10" s="3" t="s">
        <v>61</v>
      </c>
      <c r="D10" s="3" t="s">
        <v>58</v>
      </c>
      <c r="E10" s="3" t="s">
        <v>59</v>
      </c>
    </row>
    <row r="11" spans="1: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</row>
    <row r="12" spans="1:5">
      <c r="A12" s="3" t="s">
        <v>67</v>
      </c>
      <c r="B12" s="3" t="s">
        <v>63</v>
      </c>
      <c r="C12" s="3" t="s">
        <v>68</v>
      </c>
      <c r="D12" s="3" t="s">
        <v>69</v>
      </c>
      <c r="E12" s="3" t="s">
        <v>70</v>
      </c>
    </row>
    <row r="13" spans="1:5">
      <c r="A13" s="3" t="s">
        <v>71</v>
      </c>
      <c r="B13" s="3" t="s">
        <v>63</v>
      </c>
      <c r="C13" s="3" t="s">
        <v>72</v>
      </c>
      <c r="D13" s="3" t="s">
        <v>65</v>
      </c>
      <c r="E13" s="3" t="s">
        <v>73</v>
      </c>
    </row>
    <row r="14" spans="1:5">
      <c r="A14" s="3" t="s">
        <v>74</v>
      </c>
      <c r="B14" s="3" t="s">
        <v>63</v>
      </c>
      <c r="C14" s="3" t="s">
        <v>20</v>
      </c>
      <c r="D14" s="3" t="s">
        <v>75</v>
      </c>
      <c r="E14" s="3" t="s">
        <v>76</v>
      </c>
    </row>
    <row r="15" spans="1:5">
      <c r="A15" s="3" t="s">
        <v>77</v>
      </c>
      <c r="B15" s="3" t="s">
        <v>63</v>
      </c>
      <c r="C15" s="3" t="s">
        <v>78</v>
      </c>
      <c r="D15" s="3" t="s">
        <v>65</v>
      </c>
      <c r="E15" s="3" t="s">
        <v>79</v>
      </c>
    </row>
    <row r="16" spans="1:5">
      <c r="A16" s="3" t="s">
        <v>80</v>
      </c>
      <c r="B16" s="3" t="s">
        <v>63</v>
      </c>
      <c r="C16" s="3" t="s">
        <v>81</v>
      </c>
      <c r="D16" s="3" t="s">
        <v>82</v>
      </c>
      <c r="E16" s="3" t="s">
        <v>83</v>
      </c>
    </row>
    <row r="17" spans="1:5">
      <c r="A17" s="3" t="s">
        <v>84</v>
      </c>
      <c r="B17" s="3" t="s">
        <v>63</v>
      </c>
      <c r="C17" s="3" t="s">
        <v>85</v>
      </c>
      <c r="D17" s="3" t="s">
        <v>86</v>
      </c>
      <c r="E17" s="3" t="s">
        <v>87</v>
      </c>
    </row>
    <row r="18" spans="1:5">
      <c r="A18" s="3" t="s">
        <v>88</v>
      </c>
      <c r="B18" s="3" t="s">
        <v>63</v>
      </c>
      <c r="C18" s="3" t="s">
        <v>89</v>
      </c>
      <c r="D18" s="23" t="s">
        <v>90</v>
      </c>
      <c r="E18" s="3" t="s">
        <v>91</v>
      </c>
    </row>
    <row r="19" spans="1:5">
      <c r="A19" s="3" t="s">
        <v>92</v>
      </c>
      <c r="B19" s="3" t="s">
        <v>56</v>
      </c>
      <c r="C19" s="3" t="s">
        <v>93</v>
      </c>
      <c r="D19" s="3" t="s">
        <v>94</v>
      </c>
      <c r="E19" s="3" t="s">
        <v>59</v>
      </c>
    </row>
    <row r="20" spans="1:5">
      <c r="A20" s="3" t="s">
        <v>95</v>
      </c>
      <c r="B20" s="3" t="s">
        <v>63</v>
      </c>
      <c r="C20" s="3" t="s">
        <v>96</v>
      </c>
      <c r="D20" s="3" t="s">
        <v>94</v>
      </c>
      <c r="E20" s="3" t="s">
        <v>97</v>
      </c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zoomScale="90" zoomScaleNormal="90" topLeftCell="A40" workbookViewId="0">
      <selection activeCell="V42" sqref="V42"/>
    </sheetView>
  </sheetViews>
  <sheetFormatPr defaultColWidth="9" defaultRowHeight="14"/>
  <cols>
    <col min="1" max="1" width="8" customWidth="1"/>
    <col min="2" max="2" width="16" customWidth="1"/>
    <col min="3" max="3" width="14" hidden="1" customWidth="1"/>
    <col min="4" max="4" width="12" hidden="1" customWidth="1"/>
    <col min="5" max="5" width="14" hidden="1" customWidth="1"/>
    <col min="6" max="7" width="10" hidden="1" customWidth="1"/>
    <col min="8" max="8" width="12" hidden="1" customWidth="1"/>
    <col min="9" max="9" width="11.25" hidden="1" customWidth="1"/>
    <col min="10" max="10" width="12" hidden="1" customWidth="1"/>
    <col min="11" max="12" width="10" hidden="1" customWidth="1"/>
    <col min="13" max="13" width="12.9166666666667" hidden="1" customWidth="1"/>
    <col min="14" max="14" width="18" hidden="1" customWidth="1"/>
    <col min="15" max="15" width="34" hidden="1" customWidth="1"/>
    <col min="16" max="16" width="28" hidden="1" customWidth="1"/>
    <col min="17" max="18" width="32" hidden="1" customWidth="1"/>
    <col min="19" max="19" width="42.3083333333333" customWidth="1"/>
  </cols>
  <sheetData>
    <row r="1" ht="16" customHeight="1" spans="1:19">
      <c r="A1" s="15" t="s">
        <v>98</v>
      </c>
    </row>
    <row r="2" ht="16" customHeight="1"/>
    <row r="3" ht="16" customHeight="1" spans="1:19">
      <c r="A3" s="16" t="s">
        <v>34</v>
      </c>
      <c r="B3" s="16" t="s">
        <v>39</v>
      </c>
      <c r="C3" s="16" t="s">
        <v>47</v>
      </c>
      <c r="D3" s="16" t="s">
        <v>99</v>
      </c>
      <c r="E3" s="16" t="s">
        <v>100</v>
      </c>
      <c r="F3" s="16" t="s">
        <v>101</v>
      </c>
      <c r="G3" s="16" t="s">
        <v>51</v>
      </c>
      <c r="H3" s="16" t="s">
        <v>102</v>
      </c>
      <c r="I3" s="16" t="s">
        <v>55</v>
      </c>
      <c r="J3" s="16" t="s">
        <v>103</v>
      </c>
      <c r="K3" s="16" t="s">
        <v>60</v>
      </c>
      <c r="L3" s="16" t="s">
        <v>104</v>
      </c>
      <c r="M3" s="16" t="s">
        <v>92</v>
      </c>
      <c r="N3" s="16" t="s">
        <v>105</v>
      </c>
      <c r="O3" s="16" t="s">
        <v>106</v>
      </c>
      <c r="P3" s="16" t="s">
        <v>107</v>
      </c>
      <c r="Q3" s="16" t="s">
        <v>108</v>
      </c>
      <c r="R3" s="17" t="s">
        <v>109</v>
      </c>
      <c r="S3" s="16" t="s">
        <v>44</v>
      </c>
    </row>
    <row r="4" ht="24.4" customHeight="1" spans="1:19">
      <c r="A4" s="3">
        <v>1</v>
      </c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  <c r="H4" s="3" t="s">
        <v>116</v>
      </c>
      <c r="I4" s="3">
        <v>1</v>
      </c>
      <c r="J4" s="3" t="s">
        <v>117</v>
      </c>
      <c r="K4" s="3">
        <v>0</v>
      </c>
      <c r="L4" s="3" t="s">
        <v>118</v>
      </c>
      <c r="M4" s="3">
        <v>0</v>
      </c>
      <c r="N4" s="4" t="s">
        <v>119</v>
      </c>
      <c r="O4" s="4" t="s">
        <v>120</v>
      </c>
      <c r="P4" s="4" t="s">
        <v>121</v>
      </c>
      <c r="Q4" s="4" t="s">
        <v>122</v>
      </c>
      <c r="R4" s="4" t="s">
        <v>123</v>
      </c>
      <c r="S4" s="4" t="s">
        <v>124</v>
      </c>
    </row>
    <row r="5" ht="24.4" customHeight="1" spans="1:19">
      <c r="A5" s="3">
        <v>2</v>
      </c>
      <c r="B5" s="3" t="s">
        <v>125</v>
      </c>
      <c r="C5" s="3" t="s">
        <v>111</v>
      </c>
      <c r="D5" s="3" t="s">
        <v>112</v>
      </c>
      <c r="E5" s="3" t="s">
        <v>113</v>
      </c>
      <c r="F5" s="3" t="s">
        <v>114</v>
      </c>
      <c r="G5" s="3" t="s">
        <v>115</v>
      </c>
      <c r="H5" s="3" t="s">
        <v>116</v>
      </c>
      <c r="I5" s="3">
        <v>1</v>
      </c>
      <c r="J5" s="3" t="s">
        <v>116</v>
      </c>
      <c r="K5" s="3">
        <v>1</v>
      </c>
      <c r="L5" s="3" t="s">
        <v>126</v>
      </c>
      <c r="M5" s="3">
        <v>1</v>
      </c>
      <c r="N5" s="4" t="s">
        <v>127</v>
      </c>
      <c r="O5" s="4" t="s">
        <v>128</v>
      </c>
      <c r="P5" s="4" t="s">
        <v>129</v>
      </c>
      <c r="Q5" s="4" t="s">
        <v>130</v>
      </c>
      <c r="R5" s="4" t="s">
        <v>123</v>
      </c>
      <c r="S5" s="4" t="s">
        <v>131</v>
      </c>
    </row>
    <row r="6" ht="24.4" customHeight="1" spans="1:19">
      <c r="A6" s="3">
        <v>3</v>
      </c>
      <c r="B6" s="3" t="s">
        <v>132</v>
      </c>
      <c r="C6" s="3" t="s">
        <v>111</v>
      </c>
      <c r="D6" s="3" t="s">
        <v>112</v>
      </c>
      <c r="E6" s="3" t="s">
        <v>113</v>
      </c>
      <c r="F6" s="3" t="s">
        <v>114</v>
      </c>
      <c r="G6" s="3" t="s">
        <v>115</v>
      </c>
      <c r="H6" s="3" t="s">
        <v>116</v>
      </c>
      <c r="I6" s="3">
        <v>1</v>
      </c>
      <c r="J6" s="3" t="s">
        <v>116</v>
      </c>
      <c r="K6" s="3">
        <v>1</v>
      </c>
      <c r="L6" s="3" t="s">
        <v>126</v>
      </c>
      <c r="M6" s="3">
        <v>1</v>
      </c>
      <c r="N6" s="5" t="s">
        <v>127</v>
      </c>
      <c r="O6" s="5" t="s">
        <v>128</v>
      </c>
      <c r="P6" s="5" t="s">
        <v>133</v>
      </c>
      <c r="Q6" s="5" t="s">
        <v>130</v>
      </c>
      <c r="R6" s="5" t="s">
        <v>123</v>
      </c>
      <c r="S6" s="5" t="s">
        <v>134</v>
      </c>
    </row>
    <row r="7" ht="24.4" customHeight="1" spans="1:19">
      <c r="A7" s="3">
        <v>4</v>
      </c>
      <c r="B7" s="3" t="s">
        <v>135</v>
      </c>
      <c r="C7" s="3" t="s">
        <v>111</v>
      </c>
      <c r="D7" s="3" t="s">
        <v>112</v>
      </c>
      <c r="E7" s="3" t="s">
        <v>113</v>
      </c>
      <c r="F7" s="3" t="s">
        <v>114</v>
      </c>
      <c r="G7" s="3" t="s">
        <v>115</v>
      </c>
      <c r="H7" s="3" t="s">
        <v>116</v>
      </c>
      <c r="I7" s="3">
        <v>1</v>
      </c>
      <c r="J7" s="3" t="s">
        <v>116</v>
      </c>
      <c r="K7" s="3">
        <v>1</v>
      </c>
      <c r="L7" s="3" t="s">
        <v>126</v>
      </c>
      <c r="M7" s="3">
        <v>1</v>
      </c>
      <c r="N7" s="6" t="s">
        <v>127</v>
      </c>
      <c r="O7" s="6" t="s">
        <v>128</v>
      </c>
      <c r="P7" s="6" t="s">
        <v>136</v>
      </c>
      <c r="Q7" s="6" t="s">
        <v>130</v>
      </c>
      <c r="R7" s="6" t="s">
        <v>123</v>
      </c>
      <c r="S7" s="6" t="s">
        <v>137</v>
      </c>
    </row>
    <row r="8" ht="24.4" customHeight="1" spans="1:19">
      <c r="A8" s="3">
        <v>5</v>
      </c>
      <c r="B8" s="3" t="s">
        <v>138</v>
      </c>
      <c r="C8" s="3" t="s">
        <v>111</v>
      </c>
      <c r="D8" s="3" t="s">
        <v>112</v>
      </c>
      <c r="E8" s="3" t="s">
        <v>139</v>
      </c>
      <c r="F8" s="3" t="s">
        <v>114</v>
      </c>
      <c r="G8" s="3" t="s">
        <v>115</v>
      </c>
      <c r="H8" s="3" t="s">
        <v>117</v>
      </c>
      <c r="I8" s="3">
        <v>0</v>
      </c>
      <c r="J8" s="3" t="s">
        <v>117</v>
      </c>
      <c r="K8" s="3">
        <v>0</v>
      </c>
      <c r="L8" s="3" t="s">
        <v>126</v>
      </c>
      <c r="M8" s="3">
        <v>1</v>
      </c>
      <c r="N8" s="5" t="s">
        <v>127</v>
      </c>
      <c r="O8" s="5" t="s">
        <v>128</v>
      </c>
      <c r="P8" s="5" t="s">
        <v>136</v>
      </c>
      <c r="Q8" s="5" t="s">
        <v>130</v>
      </c>
      <c r="R8" s="5" t="s">
        <v>123</v>
      </c>
      <c r="S8" s="5" t="s">
        <v>140</v>
      </c>
    </row>
    <row r="9" ht="24.4" customHeight="1" spans="1:19">
      <c r="A9" s="3">
        <v>6</v>
      </c>
      <c r="B9" s="3" t="s">
        <v>141</v>
      </c>
      <c r="C9" s="3" t="s">
        <v>111</v>
      </c>
      <c r="D9" s="3" t="s">
        <v>112</v>
      </c>
      <c r="E9" s="3" t="s">
        <v>142</v>
      </c>
      <c r="F9" s="3" t="s">
        <v>114</v>
      </c>
      <c r="G9" s="3" t="s">
        <v>115</v>
      </c>
      <c r="H9" s="3" t="s">
        <v>117</v>
      </c>
      <c r="I9" s="3">
        <v>0</v>
      </c>
      <c r="J9" s="3" t="s">
        <v>117</v>
      </c>
      <c r="K9" s="3">
        <v>1</v>
      </c>
      <c r="L9" s="3" t="s">
        <v>126</v>
      </c>
      <c r="M9" s="3">
        <v>0</v>
      </c>
      <c r="N9" s="6" t="s">
        <v>127</v>
      </c>
      <c r="O9" s="6" t="s">
        <v>128</v>
      </c>
      <c r="P9" s="6" t="s">
        <v>143</v>
      </c>
      <c r="Q9" s="6" t="s">
        <v>130</v>
      </c>
      <c r="R9" s="6" t="s">
        <v>123</v>
      </c>
      <c r="S9" s="6" t="s">
        <v>144</v>
      </c>
    </row>
    <row r="10" ht="24.4" customHeight="1" spans="1:19">
      <c r="A10" s="3">
        <v>7</v>
      </c>
      <c r="B10" s="3" t="s">
        <v>145</v>
      </c>
      <c r="C10" s="3" t="s">
        <v>111</v>
      </c>
      <c r="D10" s="3" t="s">
        <v>112</v>
      </c>
      <c r="E10" s="3" t="s">
        <v>146</v>
      </c>
      <c r="F10" s="3" t="s">
        <v>114</v>
      </c>
      <c r="G10" s="3" t="s">
        <v>115</v>
      </c>
      <c r="H10" s="3" t="s">
        <v>117</v>
      </c>
      <c r="I10" s="3">
        <v>0</v>
      </c>
      <c r="J10" s="3" t="s">
        <v>117</v>
      </c>
      <c r="K10" s="3">
        <v>0</v>
      </c>
      <c r="L10" s="3" t="s">
        <v>126</v>
      </c>
      <c r="M10" s="3">
        <v>1</v>
      </c>
      <c r="N10" s="4" t="s">
        <v>119</v>
      </c>
      <c r="O10" s="4" t="s">
        <v>120</v>
      </c>
      <c r="P10" s="4" t="s">
        <v>147</v>
      </c>
      <c r="Q10" s="4" t="s">
        <v>122</v>
      </c>
      <c r="R10" s="4" t="s">
        <v>123</v>
      </c>
      <c r="S10" s="4" t="s">
        <v>148</v>
      </c>
    </row>
    <row r="11" ht="24.4" customHeight="1" spans="1:19">
      <c r="A11" s="3">
        <v>8</v>
      </c>
      <c r="B11" s="3" t="s">
        <v>149</v>
      </c>
      <c r="C11" s="3" t="s">
        <v>111</v>
      </c>
      <c r="D11" s="3" t="s">
        <v>112</v>
      </c>
      <c r="E11" s="3" t="s">
        <v>139</v>
      </c>
      <c r="F11" s="3" t="s">
        <v>114</v>
      </c>
      <c r="G11" s="3" t="s">
        <v>115</v>
      </c>
      <c r="H11" s="3" t="s">
        <v>117</v>
      </c>
      <c r="I11" s="3">
        <v>0</v>
      </c>
      <c r="J11" s="3" t="s">
        <v>116</v>
      </c>
      <c r="K11" s="3">
        <v>0</v>
      </c>
      <c r="L11" s="3" t="s">
        <v>118</v>
      </c>
      <c r="M11" s="3">
        <v>1</v>
      </c>
      <c r="N11" s="5" t="s">
        <v>127</v>
      </c>
      <c r="O11" s="5" t="s">
        <v>128</v>
      </c>
      <c r="P11" s="5" t="s">
        <v>150</v>
      </c>
      <c r="Q11" s="5" t="s">
        <v>130</v>
      </c>
      <c r="R11" s="5" t="s">
        <v>123</v>
      </c>
      <c r="S11" s="5" t="s">
        <v>151</v>
      </c>
    </row>
    <row r="12" ht="24.4" customHeight="1" spans="1:19">
      <c r="A12" s="3">
        <v>9</v>
      </c>
      <c r="B12" s="3" t="s">
        <v>152</v>
      </c>
      <c r="C12" s="3" t="s">
        <v>111</v>
      </c>
      <c r="D12" s="3" t="s">
        <v>112</v>
      </c>
      <c r="E12" s="3" t="s">
        <v>113</v>
      </c>
      <c r="F12" s="3" t="s">
        <v>153</v>
      </c>
      <c r="G12" s="3" t="s">
        <v>154</v>
      </c>
      <c r="H12" s="3" t="s">
        <v>116</v>
      </c>
      <c r="I12" s="3">
        <v>1</v>
      </c>
      <c r="J12" s="3" t="s">
        <v>116</v>
      </c>
      <c r="K12" s="3">
        <v>1</v>
      </c>
      <c r="L12" s="3" t="s">
        <v>126</v>
      </c>
      <c r="M12" s="3">
        <v>1</v>
      </c>
      <c r="N12" s="5" t="s">
        <v>127</v>
      </c>
      <c r="O12" s="5" t="s">
        <v>128</v>
      </c>
      <c r="P12" s="5" t="s">
        <v>136</v>
      </c>
      <c r="Q12" s="5" t="s">
        <v>130</v>
      </c>
      <c r="R12" s="5" t="s">
        <v>123</v>
      </c>
      <c r="S12" s="5" t="s">
        <v>140</v>
      </c>
    </row>
    <row r="13" ht="24.4" customHeight="1" spans="1:19">
      <c r="A13" s="3">
        <v>10</v>
      </c>
      <c r="B13" s="3" t="s">
        <v>155</v>
      </c>
      <c r="C13" s="3" t="s">
        <v>111</v>
      </c>
      <c r="D13" s="3" t="s">
        <v>112</v>
      </c>
      <c r="E13" s="3" t="s">
        <v>113</v>
      </c>
      <c r="F13" s="3" t="s">
        <v>153</v>
      </c>
      <c r="G13" s="3" t="s">
        <v>154</v>
      </c>
      <c r="H13" s="3" t="s">
        <v>116</v>
      </c>
      <c r="I13" s="3">
        <v>1</v>
      </c>
      <c r="J13" s="3" t="s">
        <v>116</v>
      </c>
      <c r="K13" s="3">
        <v>1</v>
      </c>
      <c r="L13" s="3" t="s">
        <v>126</v>
      </c>
      <c r="M13" s="3">
        <v>1</v>
      </c>
      <c r="N13" s="6" t="s">
        <v>127</v>
      </c>
      <c r="O13" s="6" t="s">
        <v>128</v>
      </c>
      <c r="P13" s="6" t="s">
        <v>143</v>
      </c>
      <c r="Q13" s="6" t="s">
        <v>130</v>
      </c>
      <c r="R13" s="6" t="s">
        <v>123</v>
      </c>
      <c r="S13" s="6" t="s">
        <v>144</v>
      </c>
    </row>
    <row r="14" ht="24.4" customHeight="1" spans="1:19">
      <c r="A14" s="3">
        <v>11</v>
      </c>
      <c r="B14" s="3" t="s">
        <v>156</v>
      </c>
      <c r="C14" s="3" t="s">
        <v>111</v>
      </c>
      <c r="D14" s="3" t="s">
        <v>112</v>
      </c>
      <c r="E14" s="3" t="s">
        <v>113</v>
      </c>
      <c r="F14" s="3" t="s">
        <v>153</v>
      </c>
      <c r="G14" s="3" t="s">
        <v>154</v>
      </c>
      <c r="H14" s="3" t="s">
        <v>116</v>
      </c>
      <c r="I14" s="3">
        <v>1</v>
      </c>
      <c r="J14" s="3" t="s">
        <v>117</v>
      </c>
      <c r="K14" s="3">
        <v>0</v>
      </c>
      <c r="L14" s="3" t="s">
        <v>118</v>
      </c>
      <c r="M14" s="3">
        <v>0</v>
      </c>
      <c r="N14" s="4" t="s">
        <v>119</v>
      </c>
      <c r="O14" s="4" t="s">
        <v>120</v>
      </c>
      <c r="P14" s="4" t="s">
        <v>147</v>
      </c>
      <c r="Q14" s="4" t="s">
        <v>122</v>
      </c>
      <c r="R14" s="4" t="s">
        <v>123</v>
      </c>
      <c r="S14" s="4" t="s">
        <v>148</v>
      </c>
    </row>
    <row r="15" ht="24.4" customHeight="1" spans="1:19">
      <c r="A15" s="3">
        <v>12</v>
      </c>
      <c r="B15" s="3" t="s">
        <v>157</v>
      </c>
      <c r="C15" s="3" t="s">
        <v>111</v>
      </c>
      <c r="D15" s="3" t="s">
        <v>112</v>
      </c>
      <c r="E15" s="3" t="s">
        <v>113</v>
      </c>
      <c r="F15" s="3" t="s">
        <v>153</v>
      </c>
      <c r="G15" s="3" t="s">
        <v>154</v>
      </c>
      <c r="H15" s="3" t="s">
        <v>116</v>
      </c>
      <c r="I15" s="3">
        <v>1</v>
      </c>
      <c r="J15" s="3" t="s">
        <v>116</v>
      </c>
      <c r="K15" s="3">
        <v>1</v>
      </c>
      <c r="L15" s="3" t="s">
        <v>126</v>
      </c>
      <c r="M15" s="3">
        <v>1</v>
      </c>
      <c r="N15" s="5" t="s">
        <v>127</v>
      </c>
      <c r="O15" s="5" t="s">
        <v>128</v>
      </c>
      <c r="P15" s="5" t="s">
        <v>150</v>
      </c>
      <c r="Q15" s="5" t="s">
        <v>130</v>
      </c>
      <c r="R15" s="5" t="s">
        <v>123</v>
      </c>
      <c r="S15" s="5" t="s">
        <v>151</v>
      </c>
    </row>
    <row r="16" ht="24.4" customHeight="1" spans="1:19">
      <c r="A16" s="3">
        <v>13</v>
      </c>
      <c r="B16" s="3" t="s">
        <v>158</v>
      </c>
      <c r="C16" s="3" t="s">
        <v>111</v>
      </c>
      <c r="D16" s="3" t="s">
        <v>112</v>
      </c>
      <c r="E16" s="3" t="s">
        <v>139</v>
      </c>
      <c r="F16" s="3" t="s">
        <v>153</v>
      </c>
      <c r="G16" s="3" t="s">
        <v>154</v>
      </c>
      <c r="H16" s="3" t="s">
        <v>117</v>
      </c>
      <c r="I16" s="3">
        <v>0</v>
      </c>
      <c r="J16" s="3" t="s">
        <v>117</v>
      </c>
      <c r="K16" s="3">
        <v>0</v>
      </c>
      <c r="L16" s="3" t="s">
        <v>126</v>
      </c>
      <c r="M16" s="3">
        <v>1</v>
      </c>
      <c r="N16" s="4" t="s">
        <v>119</v>
      </c>
      <c r="O16" s="4" t="s">
        <v>159</v>
      </c>
      <c r="P16" s="4" t="s">
        <v>160</v>
      </c>
      <c r="Q16" s="4" t="s">
        <v>161</v>
      </c>
      <c r="R16" s="4" t="s">
        <v>162</v>
      </c>
      <c r="S16" s="4" t="s">
        <v>163</v>
      </c>
    </row>
    <row r="17" ht="24.4" customHeight="1" spans="1:19">
      <c r="A17" s="3">
        <v>14</v>
      </c>
      <c r="B17" s="3" t="s">
        <v>164</v>
      </c>
      <c r="C17" s="3" t="s">
        <v>111</v>
      </c>
      <c r="D17" s="3" t="s">
        <v>112</v>
      </c>
      <c r="E17" s="18" t="s">
        <v>146</v>
      </c>
      <c r="F17" s="3" t="s">
        <v>153</v>
      </c>
      <c r="G17" s="3" t="s">
        <v>154</v>
      </c>
      <c r="H17" s="3" t="s">
        <v>117</v>
      </c>
      <c r="I17" s="3">
        <v>0</v>
      </c>
      <c r="J17" s="3" t="s">
        <v>117</v>
      </c>
      <c r="K17" s="3">
        <v>1</v>
      </c>
      <c r="L17" s="3" t="s">
        <v>126</v>
      </c>
      <c r="M17" s="3">
        <v>0</v>
      </c>
      <c r="N17" s="4" t="s">
        <v>127</v>
      </c>
      <c r="O17" s="4" t="s">
        <v>128</v>
      </c>
      <c r="P17" s="4" t="s">
        <v>165</v>
      </c>
      <c r="Q17" s="4" t="s">
        <v>166</v>
      </c>
      <c r="R17" s="4" t="s">
        <v>167</v>
      </c>
      <c r="S17" s="4" t="s">
        <v>168</v>
      </c>
    </row>
    <row r="18" ht="24.4" customHeight="1" spans="1:19">
      <c r="A18" s="3">
        <v>15</v>
      </c>
      <c r="B18" s="3" t="s">
        <v>169</v>
      </c>
      <c r="C18" s="3" t="s">
        <v>111</v>
      </c>
      <c r="D18" s="3" t="s">
        <v>112</v>
      </c>
      <c r="E18" s="3" t="s">
        <v>139</v>
      </c>
      <c r="F18" s="3" t="s">
        <v>153</v>
      </c>
      <c r="G18" s="3" t="s">
        <v>154</v>
      </c>
      <c r="H18" s="3" t="s">
        <v>117</v>
      </c>
      <c r="I18" s="3">
        <v>0</v>
      </c>
      <c r="J18" s="3" t="s">
        <v>117</v>
      </c>
      <c r="K18" s="3">
        <v>0</v>
      </c>
      <c r="L18" s="3" t="s">
        <v>126</v>
      </c>
      <c r="M18" s="3">
        <v>1</v>
      </c>
      <c r="N18" s="6" t="s">
        <v>119</v>
      </c>
      <c r="O18" s="6" t="s">
        <v>120</v>
      </c>
      <c r="P18" s="6" t="s">
        <v>170</v>
      </c>
      <c r="Q18" s="6" t="s">
        <v>171</v>
      </c>
      <c r="R18" s="6" t="s">
        <v>172</v>
      </c>
      <c r="S18" s="6" t="s">
        <v>173</v>
      </c>
    </row>
    <row r="19" ht="24.4" customHeight="1" spans="1:19">
      <c r="A19" s="3">
        <v>16</v>
      </c>
      <c r="B19" s="3" t="s">
        <v>174</v>
      </c>
      <c r="C19" s="3" t="s">
        <v>111</v>
      </c>
      <c r="D19" s="3" t="s">
        <v>112</v>
      </c>
      <c r="E19" s="3" t="s">
        <v>146</v>
      </c>
      <c r="F19" s="3" t="s">
        <v>153</v>
      </c>
      <c r="G19" s="3" t="s">
        <v>154</v>
      </c>
      <c r="H19" s="3" t="s">
        <v>117</v>
      </c>
      <c r="I19" s="3">
        <v>0</v>
      </c>
      <c r="J19" s="3" t="s">
        <v>116</v>
      </c>
      <c r="K19" s="3">
        <v>0</v>
      </c>
      <c r="L19" s="3" t="s">
        <v>118</v>
      </c>
      <c r="M19" s="3">
        <v>1</v>
      </c>
      <c r="N19" s="5" t="s">
        <v>119</v>
      </c>
      <c r="O19" s="5" t="s">
        <v>175</v>
      </c>
      <c r="P19" s="5" t="s">
        <v>176</v>
      </c>
      <c r="Q19" s="5" t="s">
        <v>177</v>
      </c>
      <c r="R19" s="5" t="s">
        <v>178</v>
      </c>
      <c r="S19" s="5" t="s">
        <v>179</v>
      </c>
    </row>
    <row r="20" ht="24.4" customHeight="1" spans="1:19">
      <c r="A20" s="3">
        <v>17</v>
      </c>
      <c r="B20" s="3" t="s">
        <v>180</v>
      </c>
      <c r="C20" s="3" t="s">
        <v>181</v>
      </c>
      <c r="D20" s="3" t="s">
        <v>182</v>
      </c>
      <c r="E20" s="3" t="s">
        <v>113</v>
      </c>
      <c r="F20" s="3" t="s">
        <v>114</v>
      </c>
      <c r="G20" s="3" t="s">
        <v>115</v>
      </c>
      <c r="H20" s="3" t="s">
        <v>116</v>
      </c>
      <c r="I20" s="3">
        <v>1</v>
      </c>
      <c r="J20" s="3" t="s">
        <v>117</v>
      </c>
      <c r="K20" s="3">
        <v>0</v>
      </c>
      <c r="L20" s="3" t="s">
        <v>118</v>
      </c>
      <c r="M20" s="3">
        <v>0</v>
      </c>
      <c r="N20" s="4" t="s">
        <v>119</v>
      </c>
      <c r="O20" s="4" t="s">
        <v>183</v>
      </c>
      <c r="P20" s="4" t="s">
        <v>121</v>
      </c>
      <c r="Q20" s="4" t="s">
        <v>122</v>
      </c>
      <c r="R20" s="4" t="s">
        <v>123</v>
      </c>
      <c r="S20" s="4" t="s">
        <v>184</v>
      </c>
    </row>
    <row r="21" ht="24.4" customHeight="1" spans="1:19">
      <c r="A21" s="3">
        <v>18</v>
      </c>
      <c r="B21" s="3" t="s">
        <v>185</v>
      </c>
      <c r="C21" s="3" t="s">
        <v>181</v>
      </c>
      <c r="D21" s="3" t="s">
        <v>182</v>
      </c>
      <c r="E21" s="3" t="s">
        <v>113</v>
      </c>
      <c r="F21" s="3" t="s">
        <v>114</v>
      </c>
      <c r="G21" s="3" t="s">
        <v>115</v>
      </c>
      <c r="H21" s="3" t="s">
        <v>116</v>
      </c>
      <c r="I21" s="3">
        <v>1</v>
      </c>
      <c r="J21" s="3" t="s">
        <v>116</v>
      </c>
      <c r="K21" s="3">
        <v>1</v>
      </c>
      <c r="L21" s="3" t="s">
        <v>126</v>
      </c>
      <c r="M21" s="3">
        <v>1</v>
      </c>
      <c r="N21" s="4" t="s">
        <v>127</v>
      </c>
      <c r="O21" s="4" t="s">
        <v>186</v>
      </c>
      <c r="P21" s="4" t="s">
        <v>129</v>
      </c>
      <c r="Q21" s="4" t="s">
        <v>187</v>
      </c>
      <c r="R21" s="4" t="s">
        <v>123</v>
      </c>
      <c r="S21" s="4" t="s">
        <v>188</v>
      </c>
    </row>
    <row r="22" ht="24.4" customHeight="1" spans="1:19">
      <c r="A22" s="3">
        <v>19</v>
      </c>
      <c r="B22" s="3" t="s">
        <v>189</v>
      </c>
      <c r="C22" s="3" t="s">
        <v>181</v>
      </c>
      <c r="D22" s="3" t="s">
        <v>182</v>
      </c>
      <c r="E22" s="3" t="s">
        <v>113</v>
      </c>
      <c r="F22" s="3" t="s">
        <v>114</v>
      </c>
      <c r="G22" s="3" t="s">
        <v>115</v>
      </c>
      <c r="H22" s="3" t="s">
        <v>116</v>
      </c>
      <c r="I22" s="3">
        <v>1</v>
      </c>
      <c r="J22" s="3" t="s">
        <v>116</v>
      </c>
      <c r="K22" s="3">
        <v>1</v>
      </c>
      <c r="L22" s="3" t="s">
        <v>126</v>
      </c>
      <c r="M22" s="3">
        <v>1</v>
      </c>
      <c r="N22" s="6" t="s">
        <v>127</v>
      </c>
      <c r="O22" s="6" t="s">
        <v>186</v>
      </c>
      <c r="P22" s="6" t="s">
        <v>143</v>
      </c>
      <c r="Q22" s="6" t="s">
        <v>187</v>
      </c>
      <c r="R22" s="6" t="s">
        <v>123</v>
      </c>
      <c r="S22" s="6" t="s">
        <v>190</v>
      </c>
    </row>
    <row r="23" ht="24.4" customHeight="1" spans="1:19">
      <c r="A23" s="3">
        <v>20</v>
      </c>
      <c r="B23" s="3" t="s">
        <v>191</v>
      </c>
      <c r="C23" s="3" t="s">
        <v>181</v>
      </c>
      <c r="D23" s="3" t="s">
        <v>182</v>
      </c>
      <c r="E23" s="3" t="s">
        <v>113</v>
      </c>
      <c r="F23" s="3" t="s">
        <v>114</v>
      </c>
      <c r="G23" s="3" t="s">
        <v>115</v>
      </c>
      <c r="H23" s="3" t="s">
        <v>116</v>
      </c>
      <c r="I23" s="3">
        <v>1</v>
      </c>
      <c r="J23" s="3" t="s">
        <v>116</v>
      </c>
      <c r="K23" s="3">
        <v>1</v>
      </c>
      <c r="L23" s="3" t="s">
        <v>126</v>
      </c>
      <c r="M23" s="3">
        <v>1</v>
      </c>
      <c r="N23" s="5" t="s">
        <v>127</v>
      </c>
      <c r="O23" s="5" t="s">
        <v>186</v>
      </c>
      <c r="P23" s="5" t="s">
        <v>133</v>
      </c>
      <c r="Q23" s="5" t="s">
        <v>187</v>
      </c>
      <c r="R23" s="5" t="s">
        <v>123</v>
      </c>
      <c r="S23" s="5" t="s">
        <v>192</v>
      </c>
    </row>
    <row r="24" ht="24.4" customHeight="1" spans="1:19">
      <c r="A24" s="3">
        <v>21</v>
      </c>
      <c r="B24" s="3" t="s">
        <v>193</v>
      </c>
      <c r="C24" s="3" t="s">
        <v>181</v>
      </c>
      <c r="D24" s="3" t="s">
        <v>182</v>
      </c>
      <c r="E24" s="19" t="s">
        <v>194</v>
      </c>
      <c r="F24" s="3" t="s">
        <v>114</v>
      </c>
      <c r="G24" s="3" t="s">
        <v>115</v>
      </c>
      <c r="H24" s="3" t="s">
        <v>117</v>
      </c>
      <c r="I24" s="3">
        <v>0</v>
      </c>
      <c r="J24" s="3" t="s">
        <v>117</v>
      </c>
      <c r="K24" s="3">
        <v>0</v>
      </c>
      <c r="L24" s="3" t="s">
        <v>126</v>
      </c>
      <c r="M24" s="3">
        <v>1</v>
      </c>
      <c r="N24" s="6" t="s">
        <v>119</v>
      </c>
      <c r="O24" s="6" t="s">
        <v>195</v>
      </c>
      <c r="P24" s="6" t="s">
        <v>196</v>
      </c>
      <c r="Q24" s="6" t="s">
        <v>197</v>
      </c>
      <c r="R24" s="6" t="s">
        <v>198</v>
      </c>
      <c r="S24" s="6" t="s">
        <v>199</v>
      </c>
    </row>
    <row r="25" ht="24.4" customHeight="1" spans="1:19">
      <c r="A25" s="3">
        <v>22</v>
      </c>
      <c r="B25" s="3" t="s">
        <v>200</v>
      </c>
      <c r="C25" s="3" t="s">
        <v>181</v>
      </c>
      <c r="D25" s="3" t="s">
        <v>182</v>
      </c>
      <c r="E25" s="20" t="s">
        <v>194</v>
      </c>
      <c r="F25" s="3" t="s">
        <v>114</v>
      </c>
      <c r="G25" s="3" t="s">
        <v>115</v>
      </c>
      <c r="H25" s="3" t="s">
        <v>117</v>
      </c>
      <c r="I25" s="3">
        <v>0</v>
      </c>
      <c r="J25" s="3" t="s">
        <v>117</v>
      </c>
      <c r="K25" s="3">
        <v>0</v>
      </c>
      <c r="L25" s="3" t="s">
        <v>126</v>
      </c>
      <c r="M25" s="3">
        <v>1</v>
      </c>
      <c r="N25" s="5" t="s">
        <v>119</v>
      </c>
      <c r="O25" s="5" t="s">
        <v>183</v>
      </c>
      <c r="P25" s="5" t="s">
        <v>201</v>
      </c>
      <c r="Q25" s="5" t="s">
        <v>202</v>
      </c>
      <c r="R25" s="5" t="s">
        <v>203</v>
      </c>
      <c r="S25" s="5" t="s">
        <v>204</v>
      </c>
    </row>
    <row r="26" ht="24.4" customHeight="1" spans="1:19">
      <c r="A26" s="3">
        <v>23</v>
      </c>
      <c r="B26" s="3" t="s">
        <v>205</v>
      </c>
      <c r="C26" s="3" t="s">
        <v>181</v>
      </c>
      <c r="D26" s="3" t="s">
        <v>182</v>
      </c>
      <c r="E26" s="19" t="s">
        <v>206</v>
      </c>
      <c r="F26" s="3" t="s">
        <v>114</v>
      </c>
      <c r="G26" s="3" t="s">
        <v>115</v>
      </c>
      <c r="H26" s="3" t="s">
        <v>117</v>
      </c>
      <c r="I26" s="3">
        <v>0</v>
      </c>
      <c r="J26" s="3" t="s">
        <v>116</v>
      </c>
      <c r="K26" s="3">
        <v>1</v>
      </c>
      <c r="L26" s="3" t="s">
        <v>118</v>
      </c>
      <c r="M26" s="3">
        <v>0</v>
      </c>
      <c r="N26" s="6" t="s">
        <v>127</v>
      </c>
      <c r="O26" s="6" t="s">
        <v>186</v>
      </c>
      <c r="P26" s="6" t="s">
        <v>207</v>
      </c>
      <c r="Q26" s="6" t="s">
        <v>208</v>
      </c>
      <c r="R26" s="6" t="s">
        <v>209</v>
      </c>
      <c r="S26" s="6" t="s">
        <v>210</v>
      </c>
    </row>
    <row r="27" ht="24.4" customHeight="1" spans="1:19">
      <c r="A27" s="3">
        <v>24</v>
      </c>
      <c r="B27" s="3" t="s">
        <v>211</v>
      </c>
      <c r="C27" s="3" t="s">
        <v>181</v>
      </c>
      <c r="D27" s="3" t="s">
        <v>182</v>
      </c>
      <c r="E27" s="20" t="s">
        <v>212</v>
      </c>
      <c r="F27" s="3" t="s">
        <v>114</v>
      </c>
      <c r="G27" s="3" t="s">
        <v>115</v>
      </c>
      <c r="H27" s="3" t="s">
        <v>117</v>
      </c>
      <c r="I27" s="3">
        <v>0</v>
      </c>
      <c r="J27" s="3" t="s">
        <v>117</v>
      </c>
      <c r="K27" s="3">
        <v>0</v>
      </c>
      <c r="L27" s="3" t="s">
        <v>126</v>
      </c>
      <c r="M27" s="3">
        <v>1</v>
      </c>
      <c r="N27" s="5" t="s">
        <v>119</v>
      </c>
      <c r="O27" s="5" t="s">
        <v>213</v>
      </c>
      <c r="P27" s="5" t="s">
        <v>214</v>
      </c>
      <c r="Q27" s="5" t="s">
        <v>215</v>
      </c>
      <c r="R27" s="5" t="s">
        <v>216</v>
      </c>
      <c r="S27" s="5" t="s">
        <v>217</v>
      </c>
    </row>
    <row r="28" ht="24.4" customHeight="1" spans="1:19">
      <c r="A28" s="3">
        <v>25</v>
      </c>
      <c r="B28" s="3" t="s">
        <v>218</v>
      </c>
      <c r="C28" s="3" t="s">
        <v>181</v>
      </c>
      <c r="D28" s="3" t="s">
        <v>182</v>
      </c>
      <c r="E28" s="3" t="s">
        <v>113</v>
      </c>
      <c r="F28" s="3" t="s">
        <v>153</v>
      </c>
      <c r="G28" s="3" t="s">
        <v>154</v>
      </c>
      <c r="H28" s="3" t="s">
        <v>116</v>
      </c>
      <c r="I28" s="3">
        <v>1</v>
      </c>
      <c r="J28" s="3" t="s">
        <v>117</v>
      </c>
      <c r="K28" s="3">
        <v>0</v>
      </c>
      <c r="L28" s="3" t="s">
        <v>118</v>
      </c>
      <c r="M28" s="3">
        <v>0</v>
      </c>
      <c r="N28" s="4" t="s">
        <v>119</v>
      </c>
      <c r="O28" s="4" t="s">
        <v>183</v>
      </c>
      <c r="P28" s="4" t="s">
        <v>219</v>
      </c>
      <c r="Q28" s="4" t="s">
        <v>122</v>
      </c>
      <c r="R28" s="4" t="s">
        <v>123</v>
      </c>
      <c r="S28" s="4" t="s">
        <v>220</v>
      </c>
    </row>
    <row r="29" ht="24.4" customHeight="1" spans="1:19">
      <c r="A29" s="3">
        <v>26</v>
      </c>
      <c r="B29" s="3" t="s">
        <v>221</v>
      </c>
      <c r="C29" s="3" t="s">
        <v>181</v>
      </c>
      <c r="D29" s="3" t="s">
        <v>182</v>
      </c>
      <c r="E29" s="3" t="s">
        <v>113</v>
      </c>
      <c r="F29" s="3" t="s">
        <v>153</v>
      </c>
      <c r="G29" s="3" t="s">
        <v>154</v>
      </c>
      <c r="H29" s="3" t="s">
        <v>116</v>
      </c>
      <c r="I29" s="3">
        <v>1</v>
      </c>
      <c r="J29" s="3" t="s">
        <v>116</v>
      </c>
      <c r="K29" s="3">
        <v>1</v>
      </c>
      <c r="L29" s="3" t="s">
        <v>126</v>
      </c>
      <c r="M29" s="3">
        <v>1</v>
      </c>
      <c r="N29" s="5" t="s">
        <v>127</v>
      </c>
      <c r="O29" s="5" t="s">
        <v>186</v>
      </c>
      <c r="P29" s="5" t="s">
        <v>136</v>
      </c>
      <c r="Q29" s="5" t="s">
        <v>187</v>
      </c>
      <c r="R29" s="5" t="s">
        <v>123</v>
      </c>
      <c r="S29" s="5" t="s">
        <v>222</v>
      </c>
    </row>
    <row r="30" ht="24.4" customHeight="1" spans="1:19">
      <c r="A30" s="3">
        <v>27</v>
      </c>
      <c r="B30" s="3" t="s">
        <v>223</v>
      </c>
      <c r="C30" s="3" t="s">
        <v>181</v>
      </c>
      <c r="D30" s="3" t="s">
        <v>182</v>
      </c>
      <c r="E30" s="3" t="s">
        <v>113</v>
      </c>
      <c r="F30" s="3" t="s">
        <v>153</v>
      </c>
      <c r="G30" s="3" t="s">
        <v>154</v>
      </c>
      <c r="H30" s="3" t="s">
        <v>116</v>
      </c>
      <c r="I30" s="3">
        <v>1</v>
      </c>
      <c r="J30" s="3" t="s">
        <v>116</v>
      </c>
      <c r="K30" s="3">
        <v>1</v>
      </c>
      <c r="L30" s="3" t="s">
        <v>126</v>
      </c>
      <c r="M30" s="3">
        <v>1</v>
      </c>
      <c r="N30" s="6" t="s">
        <v>127</v>
      </c>
      <c r="O30" s="6" t="s">
        <v>186</v>
      </c>
      <c r="P30" s="6" t="s">
        <v>143</v>
      </c>
      <c r="Q30" s="6" t="s">
        <v>187</v>
      </c>
      <c r="R30" s="6" t="s">
        <v>123</v>
      </c>
      <c r="S30" s="6" t="s">
        <v>224</v>
      </c>
    </row>
    <row r="31" ht="24.4" customHeight="1" spans="1:19">
      <c r="A31" s="3">
        <v>28</v>
      </c>
      <c r="B31" s="3" t="s">
        <v>225</v>
      </c>
      <c r="C31" s="3" t="s">
        <v>181</v>
      </c>
      <c r="D31" s="3" t="s">
        <v>182</v>
      </c>
      <c r="E31" s="3" t="s">
        <v>113</v>
      </c>
      <c r="F31" s="3" t="s">
        <v>153</v>
      </c>
      <c r="G31" s="3" t="s">
        <v>154</v>
      </c>
      <c r="H31" s="3" t="s">
        <v>116</v>
      </c>
      <c r="I31" s="3">
        <v>1</v>
      </c>
      <c r="J31" s="3" t="s">
        <v>116</v>
      </c>
      <c r="K31" s="3">
        <v>1</v>
      </c>
      <c r="L31" s="3" t="s">
        <v>126</v>
      </c>
      <c r="M31" s="3">
        <v>1</v>
      </c>
      <c r="N31" s="5" t="s">
        <v>127</v>
      </c>
      <c r="O31" s="5" t="s">
        <v>186</v>
      </c>
      <c r="P31" s="5" t="s">
        <v>226</v>
      </c>
      <c r="Q31" s="5" t="s">
        <v>187</v>
      </c>
      <c r="R31" s="5" t="s">
        <v>123</v>
      </c>
      <c r="S31" s="5" t="s">
        <v>227</v>
      </c>
    </row>
    <row r="32" ht="24.4" customHeight="1" spans="1:19">
      <c r="A32" s="3">
        <v>29</v>
      </c>
      <c r="B32" s="3" t="s">
        <v>228</v>
      </c>
      <c r="C32" s="3" t="s">
        <v>181</v>
      </c>
      <c r="D32" s="3" t="s">
        <v>182</v>
      </c>
      <c r="E32" s="12" t="s">
        <v>212</v>
      </c>
      <c r="F32" s="3" t="s">
        <v>153</v>
      </c>
      <c r="G32" s="3" t="s">
        <v>154</v>
      </c>
      <c r="H32" s="3" t="s">
        <v>117</v>
      </c>
      <c r="I32" s="3">
        <v>0</v>
      </c>
      <c r="J32" s="3" t="s">
        <v>117</v>
      </c>
      <c r="K32" s="3">
        <v>0</v>
      </c>
      <c r="L32" s="3" t="s">
        <v>126</v>
      </c>
      <c r="M32" s="3">
        <v>1</v>
      </c>
      <c r="N32" s="6" t="s">
        <v>119</v>
      </c>
      <c r="O32" s="6" t="s">
        <v>183</v>
      </c>
      <c r="P32" s="6" t="s">
        <v>229</v>
      </c>
      <c r="Q32" s="6" t="s">
        <v>230</v>
      </c>
      <c r="R32" s="6" t="s">
        <v>231</v>
      </c>
      <c r="S32" s="6" t="s">
        <v>232</v>
      </c>
    </row>
    <row r="33" ht="24.4" customHeight="1" spans="1:19">
      <c r="A33" s="3">
        <v>30</v>
      </c>
      <c r="B33" s="3" t="s">
        <v>233</v>
      </c>
      <c r="C33" s="3" t="s">
        <v>181</v>
      </c>
      <c r="D33" s="3" t="s">
        <v>182</v>
      </c>
      <c r="E33" s="13" t="s">
        <v>212</v>
      </c>
      <c r="F33" s="3" t="s">
        <v>153</v>
      </c>
      <c r="G33" s="3" t="s">
        <v>154</v>
      </c>
      <c r="H33" s="3" t="s">
        <v>117</v>
      </c>
      <c r="I33" s="3">
        <v>0</v>
      </c>
      <c r="J33" s="3" t="s">
        <v>117</v>
      </c>
      <c r="K33" s="3">
        <v>0</v>
      </c>
      <c r="L33" s="3" t="s">
        <v>126</v>
      </c>
      <c r="M33" s="3">
        <v>1</v>
      </c>
      <c r="N33" s="5" t="s">
        <v>119</v>
      </c>
      <c r="O33" s="5" t="s">
        <v>213</v>
      </c>
      <c r="P33" s="5" t="s">
        <v>234</v>
      </c>
      <c r="Q33" s="5" t="s">
        <v>235</v>
      </c>
      <c r="R33" s="5" t="s">
        <v>236</v>
      </c>
      <c r="S33" s="5" t="s">
        <v>237</v>
      </c>
    </row>
    <row r="34" ht="24.4" customHeight="1" spans="1:19">
      <c r="A34" s="3">
        <v>31</v>
      </c>
      <c r="B34" s="3" t="s">
        <v>238</v>
      </c>
      <c r="C34" s="3" t="s">
        <v>181</v>
      </c>
      <c r="D34" s="3" t="s">
        <v>182</v>
      </c>
      <c r="E34" s="12" t="s">
        <v>239</v>
      </c>
      <c r="F34" s="3" t="s">
        <v>153</v>
      </c>
      <c r="G34" s="3" t="s">
        <v>154</v>
      </c>
      <c r="H34" s="3" t="s">
        <v>117</v>
      </c>
      <c r="I34" s="3">
        <v>0</v>
      </c>
      <c r="J34" s="3" t="s">
        <v>116</v>
      </c>
      <c r="K34" s="3">
        <v>1</v>
      </c>
      <c r="L34" s="3" t="s">
        <v>118</v>
      </c>
      <c r="M34" s="3">
        <v>0</v>
      </c>
      <c r="N34" s="6" t="s">
        <v>127</v>
      </c>
      <c r="O34" s="6" t="s">
        <v>186</v>
      </c>
      <c r="P34" s="6" t="s">
        <v>240</v>
      </c>
      <c r="Q34" s="6" t="s">
        <v>241</v>
      </c>
      <c r="R34" s="6" t="s">
        <v>242</v>
      </c>
      <c r="S34" s="6" t="s">
        <v>243</v>
      </c>
    </row>
    <row r="35" ht="24.4" customHeight="1" spans="1:19">
      <c r="A35" s="3">
        <v>32</v>
      </c>
      <c r="B35" s="3" t="s">
        <v>244</v>
      </c>
      <c r="C35" s="3" t="s">
        <v>181</v>
      </c>
      <c r="D35" s="3" t="s">
        <v>182</v>
      </c>
      <c r="E35" s="13" t="s">
        <v>239</v>
      </c>
      <c r="F35" s="3" t="s">
        <v>153</v>
      </c>
      <c r="G35" s="3" t="s">
        <v>154</v>
      </c>
      <c r="H35" s="3" t="s">
        <v>117</v>
      </c>
      <c r="I35" s="3">
        <v>0</v>
      </c>
      <c r="J35" s="3" t="s">
        <v>117</v>
      </c>
      <c r="K35" s="3">
        <v>0</v>
      </c>
      <c r="L35" s="3" t="s">
        <v>126</v>
      </c>
      <c r="M35" s="3">
        <v>1</v>
      </c>
      <c r="N35" s="5" t="s">
        <v>119</v>
      </c>
      <c r="O35" s="5" t="s">
        <v>183</v>
      </c>
      <c r="P35" s="5" t="s">
        <v>245</v>
      </c>
      <c r="Q35" s="5" t="s">
        <v>246</v>
      </c>
      <c r="R35" s="5" t="s">
        <v>247</v>
      </c>
      <c r="S35" s="5" t="s">
        <v>248</v>
      </c>
    </row>
    <row r="36" ht="24.4" customHeight="1" spans="1:19">
      <c r="A36" s="3">
        <v>33</v>
      </c>
      <c r="B36" s="3" t="s">
        <v>249</v>
      </c>
      <c r="C36" s="3" t="s">
        <v>250</v>
      </c>
      <c r="D36" s="3" t="s">
        <v>251</v>
      </c>
      <c r="E36" s="3" t="s">
        <v>113</v>
      </c>
      <c r="F36" s="3" t="s">
        <v>114</v>
      </c>
      <c r="G36" s="3" t="s">
        <v>115</v>
      </c>
      <c r="H36" s="3" t="s">
        <v>116</v>
      </c>
      <c r="I36" s="3">
        <v>1</v>
      </c>
      <c r="J36" s="3" t="s">
        <v>116</v>
      </c>
      <c r="K36" s="3">
        <v>1</v>
      </c>
      <c r="L36" s="3" t="s">
        <v>126</v>
      </c>
      <c r="M36" s="3">
        <v>1</v>
      </c>
      <c r="N36" s="6" t="s">
        <v>127</v>
      </c>
      <c r="O36" s="6" t="s">
        <v>252</v>
      </c>
      <c r="P36" s="6" t="s">
        <v>129</v>
      </c>
      <c r="Q36" s="6" t="s">
        <v>253</v>
      </c>
      <c r="R36" s="6" t="s">
        <v>123</v>
      </c>
      <c r="S36" s="6" t="s">
        <v>254</v>
      </c>
    </row>
    <row r="37" ht="24.4" customHeight="1" spans="1:19">
      <c r="A37" s="3">
        <v>34</v>
      </c>
      <c r="B37" s="3" t="s">
        <v>255</v>
      </c>
      <c r="C37" s="3" t="s">
        <v>250</v>
      </c>
      <c r="D37" s="3" t="s">
        <v>251</v>
      </c>
      <c r="E37" s="3" t="s">
        <v>113</v>
      </c>
      <c r="F37" s="3" t="s">
        <v>114</v>
      </c>
      <c r="G37" s="3" t="s">
        <v>115</v>
      </c>
      <c r="H37" s="3" t="s">
        <v>116</v>
      </c>
      <c r="I37" s="3">
        <v>1</v>
      </c>
      <c r="J37" s="3" t="s">
        <v>117</v>
      </c>
      <c r="K37" s="3">
        <v>0</v>
      </c>
      <c r="L37" s="3" t="s">
        <v>118</v>
      </c>
      <c r="M37" s="3">
        <v>0</v>
      </c>
      <c r="N37" s="4" t="s">
        <v>119</v>
      </c>
      <c r="O37" s="4" t="s">
        <v>256</v>
      </c>
      <c r="P37" s="4" t="s">
        <v>147</v>
      </c>
      <c r="Q37" s="4" t="s">
        <v>122</v>
      </c>
      <c r="R37" s="4" t="s">
        <v>123</v>
      </c>
      <c r="S37" s="4" t="s">
        <v>257</v>
      </c>
    </row>
    <row r="38" ht="24.4" customHeight="1" spans="1:19">
      <c r="A38" s="3">
        <v>35</v>
      </c>
      <c r="B38" s="3" t="s">
        <v>258</v>
      </c>
      <c r="C38" s="3" t="s">
        <v>250</v>
      </c>
      <c r="D38" s="3" t="s">
        <v>251</v>
      </c>
      <c r="E38" s="3" t="s">
        <v>113</v>
      </c>
      <c r="F38" s="3" t="s">
        <v>114</v>
      </c>
      <c r="G38" s="3" t="s">
        <v>115</v>
      </c>
      <c r="H38" s="3" t="s">
        <v>116</v>
      </c>
      <c r="I38" s="3">
        <v>1</v>
      </c>
      <c r="J38" s="3" t="s">
        <v>116</v>
      </c>
      <c r="K38" s="3">
        <v>1</v>
      </c>
      <c r="L38" s="3" t="s">
        <v>126</v>
      </c>
      <c r="M38" s="3">
        <v>1</v>
      </c>
      <c r="N38" s="6" t="s">
        <v>127</v>
      </c>
      <c r="O38" s="6" t="s">
        <v>252</v>
      </c>
      <c r="P38" s="6" t="s">
        <v>150</v>
      </c>
      <c r="Q38" s="6" t="s">
        <v>253</v>
      </c>
      <c r="R38" s="6" t="s">
        <v>123</v>
      </c>
      <c r="S38" s="6" t="s">
        <v>259</v>
      </c>
    </row>
    <row r="39" ht="24.4" customHeight="1" spans="1:19">
      <c r="A39" s="3">
        <v>36</v>
      </c>
      <c r="B39" s="3" t="s">
        <v>260</v>
      </c>
      <c r="C39" s="3" t="s">
        <v>250</v>
      </c>
      <c r="D39" s="3" t="s">
        <v>251</v>
      </c>
      <c r="E39" s="3" t="s">
        <v>113</v>
      </c>
      <c r="F39" s="3" t="s">
        <v>114</v>
      </c>
      <c r="G39" s="3" t="s">
        <v>115</v>
      </c>
      <c r="H39" s="3" t="s">
        <v>116</v>
      </c>
      <c r="I39" s="3">
        <v>1</v>
      </c>
      <c r="J39" s="3" t="s">
        <v>116</v>
      </c>
      <c r="K39" s="3">
        <v>1</v>
      </c>
      <c r="L39" s="3" t="s">
        <v>126</v>
      </c>
      <c r="M39" s="3">
        <v>1</v>
      </c>
      <c r="N39" s="5" t="s">
        <v>127</v>
      </c>
      <c r="O39" s="5" t="s">
        <v>252</v>
      </c>
      <c r="P39" s="5" t="s">
        <v>133</v>
      </c>
      <c r="Q39" s="5" t="s">
        <v>253</v>
      </c>
      <c r="R39" s="5" t="s">
        <v>123</v>
      </c>
      <c r="S39" s="5" t="s">
        <v>261</v>
      </c>
    </row>
    <row r="40" ht="24.4" customHeight="1" spans="1:19">
      <c r="A40" s="3">
        <v>37</v>
      </c>
      <c r="B40" s="3" t="s">
        <v>262</v>
      </c>
      <c r="C40" s="3" t="s">
        <v>250</v>
      </c>
      <c r="D40" s="3" t="s">
        <v>251</v>
      </c>
      <c r="E40" s="12" t="s">
        <v>263</v>
      </c>
      <c r="F40" s="3" t="s">
        <v>114</v>
      </c>
      <c r="G40" s="3" t="s">
        <v>115</v>
      </c>
      <c r="H40" s="3" t="s">
        <v>117</v>
      </c>
      <c r="I40" s="3">
        <v>0</v>
      </c>
      <c r="J40" s="3" t="s">
        <v>117</v>
      </c>
      <c r="K40" s="3">
        <v>0</v>
      </c>
      <c r="L40" s="3" t="s">
        <v>126</v>
      </c>
      <c r="M40" s="3">
        <v>1</v>
      </c>
      <c r="N40" s="6" t="s">
        <v>119</v>
      </c>
      <c r="O40" s="6" t="s">
        <v>264</v>
      </c>
      <c r="P40" s="6" t="s">
        <v>265</v>
      </c>
      <c r="Q40" s="6" t="s">
        <v>266</v>
      </c>
      <c r="R40" s="6" t="s">
        <v>267</v>
      </c>
      <c r="S40" s="6" t="s">
        <v>268</v>
      </c>
    </row>
    <row r="41" ht="24.4" customHeight="1" spans="1:19">
      <c r="A41" s="3">
        <v>38</v>
      </c>
      <c r="B41" s="3" t="s">
        <v>269</v>
      </c>
      <c r="C41" s="3" t="s">
        <v>250</v>
      </c>
      <c r="D41" s="3" t="s">
        <v>251</v>
      </c>
      <c r="E41" s="13" t="s">
        <v>270</v>
      </c>
      <c r="F41" s="3" t="s">
        <v>114</v>
      </c>
      <c r="G41" s="3" t="s">
        <v>115</v>
      </c>
      <c r="H41" s="3" t="s">
        <v>117</v>
      </c>
      <c r="I41" s="3">
        <v>0</v>
      </c>
      <c r="J41" s="3" t="s">
        <v>117</v>
      </c>
      <c r="K41" s="3">
        <v>0</v>
      </c>
      <c r="L41" s="3" t="s">
        <v>126</v>
      </c>
      <c r="M41" s="3">
        <v>1</v>
      </c>
      <c r="N41" s="5" t="s">
        <v>119</v>
      </c>
      <c r="O41" s="5" t="s">
        <v>271</v>
      </c>
      <c r="P41" s="5" t="s">
        <v>272</v>
      </c>
      <c r="Q41" s="5" t="s">
        <v>273</v>
      </c>
      <c r="R41" s="5" t="s">
        <v>274</v>
      </c>
      <c r="S41" s="5" t="s">
        <v>275</v>
      </c>
    </row>
    <row r="42" ht="24.4" customHeight="1" spans="1:19">
      <c r="A42" s="3">
        <v>39</v>
      </c>
      <c r="B42" s="3" t="s">
        <v>276</v>
      </c>
      <c r="C42" s="3" t="s">
        <v>250</v>
      </c>
      <c r="D42" s="3" t="s">
        <v>251</v>
      </c>
      <c r="E42" s="14" t="s">
        <v>270</v>
      </c>
      <c r="F42" s="3" t="s">
        <v>114</v>
      </c>
      <c r="G42" s="3" t="s">
        <v>115</v>
      </c>
      <c r="H42" s="3" t="s">
        <v>117</v>
      </c>
      <c r="I42" s="3">
        <v>0</v>
      </c>
      <c r="J42" s="3" t="s">
        <v>116</v>
      </c>
      <c r="K42" s="3">
        <v>1</v>
      </c>
      <c r="L42" s="3" t="s">
        <v>118</v>
      </c>
      <c r="M42" s="3">
        <v>0</v>
      </c>
      <c r="N42" s="4" t="s">
        <v>127</v>
      </c>
      <c r="O42" s="4" t="s">
        <v>252</v>
      </c>
      <c r="P42" s="4" t="s">
        <v>277</v>
      </c>
      <c r="Q42" s="4" t="s">
        <v>278</v>
      </c>
      <c r="R42" s="4" t="s">
        <v>279</v>
      </c>
      <c r="S42" s="4" t="s">
        <v>280</v>
      </c>
    </row>
    <row r="43" ht="24.4" customHeight="1" spans="1:19">
      <c r="A43" s="3">
        <v>40</v>
      </c>
      <c r="B43" s="3" t="s">
        <v>281</v>
      </c>
      <c r="C43" s="3" t="s">
        <v>250</v>
      </c>
      <c r="D43" s="3" t="s">
        <v>251</v>
      </c>
      <c r="E43" s="13" t="s">
        <v>270</v>
      </c>
      <c r="F43" s="3" t="s">
        <v>114</v>
      </c>
      <c r="G43" s="3" t="s">
        <v>115</v>
      </c>
      <c r="H43" s="3" t="s">
        <v>117</v>
      </c>
      <c r="I43" s="3">
        <v>0</v>
      </c>
      <c r="J43" s="3" t="s">
        <v>117</v>
      </c>
      <c r="K43" s="3">
        <v>0</v>
      </c>
      <c r="L43" s="3" t="s">
        <v>126</v>
      </c>
      <c r="M43" s="3">
        <v>1</v>
      </c>
      <c r="N43" s="5" t="s">
        <v>119</v>
      </c>
      <c r="O43" s="5" t="s">
        <v>282</v>
      </c>
      <c r="P43" s="5" t="s">
        <v>283</v>
      </c>
      <c r="Q43" s="5" t="s">
        <v>284</v>
      </c>
      <c r="R43" s="5" t="s">
        <v>285</v>
      </c>
      <c r="S43" s="5" t="s">
        <v>286</v>
      </c>
    </row>
    <row r="44" ht="24.4" customHeight="1" spans="1:19">
      <c r="A44" s="3">
        <v>41</v>
      </c>
      <c r="B44" s="3" t="s">
        <v>287</v>
      </c>
      <c r="C44" s="3" t="s">
        <v>250</v>
      </c>
      <c r="D44" s="3" t="s">
        <v>251</v>
      </c>
      <c r="E44" s="12" t="s">
        <v>263</v>
      </c>
      <c r="F44" s="3" t="s">
        <v>153</v>
      </c>
      <c r="G44" s="3" t="s">
        <v>154</v>
      </c>
      <c r="H44" s="3" t="s">
        <v>116</v>
      </c>
      <c r="I44" s="3">
        <v>1</v>
      </c>
      <c r="J44" s="3" t="s">
        <v>116</v>
      </c>
      <c r="K44" s="3">
        <v>1</v>
      </c>
      <c r="L44" s="3" t="s">
        <v>126</v>
      </c>
      <c r="M44" s="3">
        <v>1</v>
      </c>
      <c r="N44" s="6" t="s">
        <v>119</v>
      </c>
      <c r="O44" s="6" t="s">
        <v>288</v>
      </c>
      <c r="P44" s="6" t="s">
        <v>289</v>
      </c>
      <c r="Q44" s="6" t="s">
        <v>290</v>
      </c>
      <c r="R44" s="6" t="s">
        <v>291</v>
      </c>
      <c r="S44" s="6" t="s">
        <v>292</v>
      </c>
    </row>
    <row r="45" ht="24.4" customHeight="1" spans="1:19">
      <c r="A45" s="3">
        <v>42</v>
      </c>
      <c r="B45" s="3" t="s">
        <v>293</v>
      </c>
      <c r="C45" s="3" t="s">
        <v>250</v>
      </c>
      <c r="D45" s="3" t="s">
        <v>251</v>
      </c>
      <c r="E45" s="13" t="s">
        <v>239</v>
      </c>
      <c r="F45" s="3" t="s">
        <v>153</v>
      </c>
      <c r="G45" s="3" t="s">
        <v>154</v>
      </c>
      <c r="H45" s="3" t="s">
        <v>116</v>
      </c>
      <c r="I45" s="3">
        <v>1</v>
      </c>
      <c r="J45" s="3" t="s">
        <v>117</v>
      </c>
      <c r="K45" s="3">
        <v>0</v>
      </c>
      <c r="L45" s="3" t="s">
        <v>118</v>
      </c>
      <c r="M45" s="3">
        <v>0</v>
      </c>
      <c r="N45" s="5" t="s">
        <v>119</v>
      </c>
      <c r="O45" s="5" t="s">
        <v>294</v>
      </c>
      <c r="P45" s="5" t="s">
        <v>295</v>
      </c>
      <c r="Q45" s="5" t="s">
        <v>296</v>
      </c>
      <c r="R45" s="5" t="s">
        <v>297</v>
      </c>
      <c r="S45" s="5" t="s">
        <v>298</v>
      </c>
    </row>
    <row r="46" ht="24.4" customHeight="1" spans="1:19">
      <c r="A46" s="3">
        <v>43</v>
      </c>
      <c r="B46" s="3" t="s">
        <v>299</v>
      </c>
      <c r="C46" s="3" t="s">
        <v>250</v>
      </c>
      <c r="D46" s="3" t="s">
        <v>251</v>
      </c>
      <c r="E46" s="14" t="s">
        <v>263</v>
      </c>
      <c r="F46" s="3" t="s">
        <v>153</v>
      </c>
      <c r="G46" s="3" t="s">
        <v>154</v>
      </c>
      <c r="H46" s="3" t="s">
        <v>116</v>
      </c>
      <c r="I46" s="3">
        <v>1</v>
      </c>
      <c r="J46" s="3" t="s">
        <v>116</v>
      </c>
      <c r="K46" s="3">
        <v>1</v>
      </c>
      <c r="L46" s="3" t="s">
        <v>126</v>
      </c>
      <c r="M46" s="3">
        <v>1</v>
      </c>
      <c r="N46" s="4" t="s">
        <v>127</v>
      </c>
      <c r="O46" s="4" t="s">
        <v>252</v>
      </c>
      <c r="P46" s="4" t="s">
        <v>300</v>
      </c>
      <c r="Q46" s="4" t="s">
        <v>301</v>
      </c>
      <c r="R46" s="4" t="s">
        <v>302</v>
      </c>
      <c r="S46" s="4" t="s">
        <v>303</v>
      </c>
    </row>
    <row r="47" ht="24.4" customHeight="1" spans="1:19">
      <c r="A47" s="3">
        <v>44</v>
      </c>
      <c r="B47" s="3" t="s">
        <v>304</v>
      </c>
      <c r="C47" s="3" t="s">
        <v>250</v>
      </c>
      <c r="D47" s="3" t="s">
        <v>251</v>
      </c>
      <c r="E47" s="13" t="s">
        <v>305</v>
      </c>
      <c r="F47" s="3" t="s">
        <v>153</v>
      </c>
      <c r="G47" s="3" t="s">
        <v>154</v>
      </c>
      <c r="H47" s="3" t="s">
        <v>116</v>
      </c>
      <c r="I47" s="3">
        <v>1</v>
      </c>
      <c r="J47" s="3" t="s">
        <v>116</v>
      </c>
      <c r="K47" s="3">
        <v>1</v>
      </c>
      <c r="L47" s="3" t="s">
        <v>126</v>
      </c>
      <c r="M47" s="3">
        <v>1</v>
      </c>
      <c r="N47" s="5" t="s">
        <v>119</v>
      </c>
      <c r="O47" s="5" t="s">
        <v>256</v>
      </c>
      <c r="P47" s="5" t="s">
        <v>306</v>
      </c>
      <c r="Q47" s="5" t="s">
        <v>307</v>
      </c>
      <c r="R47" s="5" t="s">
        <v>308</v>
      </c>
      <c r="S47" s="5" t="s">
        <v>309</v>
      </c>
    </row>
    <row r="48" ht="24.4" customHeight="1" spans="1:19">
      <c r="A48" s="3">
        <v>45</v>
      </c>
      <c r="B48" s="3" t="s">
        <v>310</v>
      </c>
      <c r="C48" s="3" t="s">
        <v>250</v>
      </c>
      <c r="D48" s="3" t="s">
        <v>251</v>
      </c>
      <c r="E48" s="12" t="s">
        <v>263</v>
      </c>
      <c r="F48" s="3" t="s">
        <v>153</v>
      </c>
      <c r="G48" s="3" t="s">
        <v>154</v>
      </c>
      <c r="H48" s="3" t="s">
        <v>117</v>
      </c>
      <c r="I48" s="3">
        <v>0</v>
      </c>
      <c r="J48" s="3" t="s">
        <v>117</v>
      </c>
      <c r="K48" s="3">
        <v>0</v>
      </c>
      <c r="L48" s="3" t="s">
        <v>126</v>
      </c>
      <c r="M48" s="3">
        <v>1</v>
      </c>
      <c r="N48" s="6" t="s">
        <v>119</v>
      </c>
      <c r="O48" s="6" t="s">
        <v>288</v>
      </c>
      <c r="P48" s="6" t="s">
        <v>289</v>
      </c>
      <c r="Q48" s="6" t="s">
        <v>290</v>
      </c>
      <c r="R48" s="6" t="s">
        <v>291</v>
      </c>
      <c r="S48" s="6" t="s">
        <v>292</v>
      </c>
    </row>
    <row r="49" ht="24.4" customHeight="1" spans="1:19">
      <c r="A49" s="3">
        <v>46</v>
      </c>
      <c r="B49" s="3" t="s">
        <v>311</v>
      </c>
      <c r="C49" s="3" t="s">
        <v>250</v>
      </c>
      <c r="D49" s="3" t="s">
        <v>251</v>
      </c>
      <c r="E49" s="13" t="s">
        <v>239</v>
      </c>
      <c r="F49" s="3" t="s">
        <v>153</v>
      </c>
      <c r="G49" s="3" t="s">
        <v>154</v>
      </c>
      <c r="H49" s="3" t="s">
        <v>117</v>
      </c>
      <c r="I49" s="3">
        <v>0</v>
      </c>
      <c r="J49" s="3" t="s">
        <v>117</v>
      </c>
      <c r="K49" s="3">
        <v>0</v>
      </c>
      <c r="L49" s="3" t="s">
        <v>126</v>
      </c>
      <c r="M49" s="3">
        <v>1</v>
      </c>
      <c r="N49" s="5" t="s">
        <v>119</v>
      </c>
      <c r="O49" s="5" t="s">
        <v>294</v>
      </c>
      <c r="P49" s="5" t="s">
        <v>295</v>
      </c>
      <c r="Q49" s="5" t="s">
        <v>296</v>
      </c>
      <c r="R49" s="5" t="s">
        <v>297</v>
      </c>
      <c r="S49" s="5" t="s">
        <v>298</v>
      </c>
    </row>
    <row r="50" ht="24.4" customHeight="1" spans="1:19">
      <c r="A50" s="3">
        <v>47</v>
      </c>
      <c r="B50" s="3" t="s">
        <v>312</v>
      </c>
      <c r="C50" s="3" t="s">
        <v>250</v>
      </c>
      <c r="D50" s="3" t="s">
        <v>251</v>
      </c>
      <c r="E50" s="14" t="s">
        <v>263</v>
      </c>
      <c r="F50" s="3" t="s">
        <v>153</v>
      </c>
      <c r="G50" s="3" t="s">
        <v>154</v>
      </c>
      <c r="H50" s="3" t="s">
        <v>117</v>
      </c>
      <c r="I50" s="3">
        <v>0</v>
      </c>
      <c r="J50" s="3" t="s">
        <v>116</v>
      </c>
      <c r="K50" s="3">
        <v>1</v>
      </c>
      <c r="L50" s="3" t="s">
        <v>118</v>
      </c>
      <c r="M50" s="3">
        <v>0</v>
      </c>
      <c r="N50" s="4" t="s">
        <v>127</v>
      </c>
      <c r="O50" s="4" t="s">
        <v>252</v>
      </c>
      <c r="P50" s="4" t="s">
        <v>300</v>
      </c>
      <c r="Q50" s="4" t="s">
        <v>301</v>
      </c>
      <c r="R50" s="4" t="s">
        <v>302</v>
      </c>
      <c r="S50" s="4" t="s">
        <v>303</v>
      </c>
    </row>
    <row r="51" ht="24.4" customHeight="1" spans="1:19">
      <c r="A51" s="3">
        <v>48</v>
      </c>
      <c r="B51" s="3" t="s">
        <v>313</v>
      </c>
      <c r="C51" s="3" t="s">
        <v>250</v>
      </c>
      <c r="D51" s="3" t="s">
        <v>251</v>
      </c>
      <c r="E51" s="13" t="s">
        <v>305</v>
      </c>
      <c r="F51" s="3" t="s">
        <v>153</v>
      </c>
      <c r="G51" s="3" t="s">
        <v>154</v>
      </c>
      <c r="H51" s="3" t="s">
        <v>117</v>
      </c>
      <c r="I51" s="3">
        <v>0</v>
      </c>
      <c r="J51" s="3" t="s">
        <v>117</v>
      </c>
      <c r="K51" s="3">
        <v>0</v>
      </c>
      <c r="L51" s="3" t="s">
        <v>126</v>
      </c>
      <c r="M51" s="3">
        <v>1</v>
      </c>
      <c r="N51" s="5" t="s">
        <v>119</v>
      </c>
      <c r="O51" s="5" t="s">
        <v>256</v>
      </c>
      <c r="P51" s="5" t="s">
        <v>306</v>
      </c>
      <c r="Q51" s="5" t="s">
        <v>307</v>
      </c>
      <c r="R51" s="5" t="s">
        <v>308</v>
      </c>
      <c r="S51" s="5" t="s">
        <v>309</v>
      </c>
    </row>
  </sheetData>
  <autoFilter xmlns:etc="http://www.wps.cn/officeDocument/2017/etCustomData" ref="A3:S51" etc:filterBottomFollowUsedRange="0">
    <extLst/>
  </autoFilter>
  <mergeCells count="1">
    <mergeCell ref="A1:S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1"/>
  <sheetViews>
    <sheetView topLeftCell="S1" workbookViewId="0">
      <selection activeCell="H4" sqref="H4"/>
    </sheetView>
  </sheetViews>
  <sheetFormatPr defaultColWidth="9" defaultRowHeight="14"/>
  <cols>
    <col min="1" max="1" width="8" customWidth="1"/>
    <col min="2" max="2" width="16" customWidth="1"/>
    <col min="3" max="3" width="14" customWidth="1"/>
    <col min="4" max="4" width="12" customWidth="1"/>
    <col min="5" max="5" width="14" customWidth="1"/>
    <col min="6" max="7" width="10" customWidth="1"/>
    <col min="8" max="8" width="34" customWidth="1"/>
    <col min="9" max="10" width="11" customWidth="1"/>
    <col min="11" max="14" width="10" customWidth="1"/>
    <col min="15" max="15" width="12" customWidth="1"/>
    <col min="16" max="16" width="10" customWidth="1"/>
    <col min="17" max="18" width="12" customWidth="1"/>
    <col min="19" max="19" width="10" customWidth="1"/>
    <col min="20" max="23" width="12" customWidth="1"/>
    <col min="24" max="24" width="11" customWidth="1"/>
    <col min="25" max="25" width="30" customWidth="1"/>
    <col min="26" max="26" width="36" customWidth="1"/>
    <col min="27" max="27" width="22" customWidth="1"/>
    <col min="28" max="28" width="18" customWidth="1"/>
  </cols>
  <sheetData>
    <row r="1" ht="16" customHeight="1" spans="1:28">
      <c r="A1" s="7" t="s">
        <v>314</v>
      </c>
    </row>
    <row r="2" ht="16" customHeight="1"/>
    <row r="3" ht="26" customHeight="1" spans="1:28">
      <c r="A3" s="8" t="s">
        <v>34</v>
      </c>
      <c r="B3" s="8" t="s">
        <v>39</v>
      </c>
      <c r="C3" s="8" t="s">
        <v>47</v>
      </c>
      <c r="D3" s="8" t="s">
        <v>99</v>
      </c>
      <c r="E3" s="8" t="s">
        <v>100</v>
      </c>
      <c r="F3" s="8" t="s">
        <v>101</v>
      </c>
      <c r="G3" s="8" t="s">
        <v>51</v>
      </c>
      <c r="H3" s="8" t="s">
        <v>44</v>
      </c>
      <c r="I3" s="8" t="s">
        <v>62</v>
      </c>
      <c r="J3" s="8" t="s">
        <v>67</v>
      </c>
      <c r="K3" s="8" t="s">
        <v>71</v>
      </c>
      <c r="L3" s="8" t="s">
        <v>74</v>
      </c>
      <c r="M3" s="8" t="s">
        <v>315</v>
      </c>
      <c r="N3" s="8" t="s">
        <v>316</v>
      </c>
      <c r="O3" s="8" t="s">
        <v>317</v>
      </c>
      <c r="P3" s="8" t="s">
        <v>318</v>
      </c>
      <c r="Q3" s="8" t="s">
        <v>77</v>
      </c>
      <c r="R3" s="8" t="s">
        <v>80</v>
      </c>
      <c r="S3" s="8" t="s">
        <v>319</v>
      </c>
      <c r="T3" s="8" t="s">
        <v>84</v>
      </c>
      <c r="U3" s="8" t="s">
        <v>320</v>
      </c>
      <c r="V3" s="8" t="s">
        <v>321</v>
      </c>
      <c r="W3" s="8" t="s">
        <v>88</v>
      </c>
      <c r="X3" s="8" t="s">
        <v>95</v>
      </c>
      <c r="Y3" s="8" t="s">
        <v>322</v>
      </c>
      <c r="Z3" s="8" t="s">
        <v>107</v>
      </c>
      <c r="AA3" s="8" t="s">
        <v>108</v>
      </c>
      <c r="AB3" s="8" t="s">
        <v>11</v>
      </c>
    </row>
    <row r="4" ht="48.75" customHeight="1" spans="1:28">
      <c r="A4" s="3">
        <v>1</v>
      </c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  <c r="H4" s="3" t="s">
        <v>124</v>
      </c>
      <c r="I4" s="9">
        <v>92</v>
      </c>
      <c r="J4" s="9">
        <v>7.6</v>
      </c>
      <c r="K4" s="9">
        <v>90</v>
      </c>
      <c r="L4" s="9">
        <v>60</v>
      </c>
      <c r="M4" s="10">
        <v>0.7</v>
      </c>
      <c r="N4" s="10">
        <v>0.3</v>
      </c>
      <c r="O4" s="9">
        <v>75</v>
      </c>
      <c r="P4" s="9">
        <v>1</v>
      </c>
      <c r="Q4" s="9">
        <v>91.4</v>
      </c>
      <c r="R4" s="3">
        <v>1</v>
      </c>
      <c r="S4" s="3" t="s">
        <v>323</v>
      </c>
      <c r="T4" s="3" t="s">
        <v>324</v>
      </c>
      <c r="U4" s="3">
        <v>1</v>
      </c>
      <c r="V4" s="3" t="s">
        <v>323</v>
      </c>
      <c r="W4" s="3" t="s">
        <v>325</v>
      </c>
      <c r="X4" s="3">
        <v>1</v>
      </c>
      <c r="Y4" s="3" t="s">
        <v>126</v>
      </c>
      <c r="Z4" s="3" t="s">
        <v>326</v>
      </c>
      <c r="AA4" s="3" t="s">
        <v>327</v>
      </c>
      <c r="AB4" s="3" t="s">
        <v>328</v>
      </c>
    </row>
    <row r="5" ht="48.75" customHeight="1" spans="1:28">
      <c r="A5" s="3">
        <v>2</v>
      </c>
      <c r="B5" s="3" t="s">
        <v>125</v>
      </c>
      <c r="C5" s="3" t="s">
        <v>111</v>
      </c>
      <c r="D5" s="3" t="s">
        <v>112</v>
      </c>
      <c r="E5" s="3" t="s">
        <v>113</v>
      </c>
      <c r="F5" s="3" t="s">
        <v>114</v>
      </c>
      <c r="G5" s="3" t="s">
        <v>115</v>
      </c>
      <c r="H5" s="3" t="s">
        <v>131</v>
      </c>
      <c r="I5" s="9">
        <v>85</v>
      </c>
      <c r="J5" s="9">
        <v>9.2</v>
      </c>
      <c r="K5" s="9">
        <v>80</v>
      </c>
      <c r="L5" s="9">
        <v>60</v>
      </c>
      <c r="M5" s="10">
        <v>0.7</v>
      </c>
      <c r="N5" s="10">
        <v>0.3</v>
      </c>
      <c r="O5" s="9">
        <v>75</v>
      </c>
      <c r="P5" s="9">
        <v>1</v>
      </c>
      <c r="Q5" s="9">
        <v>83.5</v>
      </c>
      <c r="R5" s="3">
        <v>1</v>
      </c>
      <c r="S5" s="3" t="s">
        <v>323</v>
      </c>
      <c r="T5" s="3" t="s">
        <v>324</v>
      </c>
      <c r="U5" s="3">
        <v>1</v>
      </c>
      <c r="V5" s="3" t="s">
        <v>323</v>
      </c>
      <c r="W5" s="3" t="s">
        <v>325</v>
      </c>
      <c r="X5" s="3">
        <v>1</v>
      </c>
      <c r="Y5" s="3" t="s">
        <v>126</v>
      </c>
      <c r="Z5" s="3" t="s">
        <v>329</v>
      </c>
      <c r="AA5" s="3" t="s">
        <v>330</v>
      </c>
      <c r="AB5" s="3" t="s">
        <v>328</v>
      </c>
    </row>
    <row r="6" ht="48.75" customHeight="1" spans="1:28">
      <c r="A6" s="3">
        <v>3</v>
      </c>
      <c r="B6" s="3" t="s">
        <v>132</v>
      </c>
      <c r="C6" s="3" t="s">
        <v>111</v>
      </c>
      <c r="D6" s="3" t="s">
        <v>112</v>
      </c>
      <c r="E6" s="3" t="s">
        <v>113</v>
      </c>
      <c r="F6" s="3" t="s">
        <v>114</v>
      </c>
      <c r="G6" s="3" t="s">
        <v>115</v>
      </c>
      <c r="H6" s="3" t="s">
        <v>134</v>
      </c>
      <c r="I6" s="9">
        <v>78</v>
      </c>
      <c r="J6" s="9">
        <v>10</v>
      </c>
      <c r="K6" s="9">
        <v>75</v>
      </c>
      <c r="L6" s="9">
        <v>60</v>
      </c>
      <c r="M6" s="10">
        <v>0.7</v>
      </c>
      <c r="N6" s="10">
        <v>0.3</v>
      </c>
      <c r="O6" s="9">
        <v>75</v>
      </c>
      <c r="P6" s="9">
        <v>1</v>
      </c>
      <c r="Q6" s="9">
        <v>77.1</v>
      </c>
      <c r="R6" s="3">
        <v>1</v>
      </c>
      <c r="S6" s="3" t="s">
        <v>323</v>
      </c>
      <c r="T6" s="3" t="s">
        <v>331</v>
      </c>
      <c r="U6" s="3">
        <v>1</v>
      </c>
      <c r="V6" s="3" t="s">
        <v>323</v>
      </c>
      <c r="W6" s="3" t="s">
        <v>331</v>
      </c>
      <c r="X6" s="3">
        <v>1</v>
      </c>
      <c r="Y6" s="3" t="s">
        <v>126</v>
      </c>
      <c r="Z6" s="3" t="s">
        <v>332</v>
      </c>
      <c r="AA6" s="3" t="s">
        <v>333</v>
      </c>
      <c r="AB6" s="3" t="s">
        <v>334</v>
      </c>
    </row>
    <row r="7" ht="48.75" customHeight="1" spans="1:28">
      <c r="A7" s="3">
        <v>4</v>
      </c>
      <c r="B7" s="3" t="s">
        <v>135</v>
      </c>
      <c r="C7" s="3" t="s">
        <v>111</v>
      </c>
      <c r="D7" s="3" t="s">
        <v>112</v>
      </c>
      <c r="E7" s="3" t="s">
        <v>113</v>
      </c>
      <c r="F7" s="3" t="s">
        <v>114</v>
      </c>
      <c r="G7" s="3" t="s">
        <v>115</v>
      </c>
      <c r="H7" s="3" t="s">
        <v>137</v>
      </c>
      <c r="I7" s="9">
        <v>72</v>
      </c>
      <c r="J7" s="9">
        <v>11.6</v>
      </c>
      <c r="K7" s="9">
        <v>65</v>
      </c>
      <c r="L7" s="9">
        <v>60</v>
      </c>
      <c r="M7" s="10">
        <v>0.7</v>
      </c>
      <c r="N7" s="10">
        <v>0.3</v>
      </c>
      <c r="O7" s="9">
        <v>75</v>
      </c>
      <c r="P7" s="9">
        <v>1</v>
      </c>
      <c r="Q7" s="9">
        <v>69.9</v>
      </c>
      <c r="R7" s="3">
        <v>0</v>
      </c>
      <c r="S7" s="3" t="s">
        <v>335</v>
      </c>
      <c r="T7" s="3" t="s">
        <v>324</v>
      </c>
      <c r="U7" s="3">
        <v>0</v>
      </c>
      <c r="V7" s="3" t="s">
        <v>335</v>
      </c>
      <c r="W7" s="3" t="s">
        <v>325</v>
      </c>
      <c r="X7" s="3">
        <v>1</v>
      </c>
      <c r="Y7" s="3" t="s">
        <v>126</v>
      </c>
      <c r="Z7" s="3" t="s">
        <v>336</v>
      </c>
      <c r="AA7" s="3" t="s">
        <v>337</v>
      </c>
      <c r="AB7" s="3" t="s">
        <v>328</v>
      </c>
    </row>
    <row r="8" ht="48.75" customHeight="1" spans="1:28">
      <c r="A8" s="3">
        <v>5</v>
      </c>
      <c r="B8" s="3" t="s">
        <v>138</v>
      </c>
      <c r="C8" s="3" t="s">
        <v>111</v>
      </c>
      <c r="D8" s="3" t="s">
        <v>112</v>
      </c>
      <c r="E8" s="3" t="s">
        <v>139</v>
      </c>
      <c r="F8" s="3" t="s">
        <v>114</v>
      </c>
      <c r="G8" s="3" t="s">
        <v>115</v>
      </c>
      <c r="H8" s="3" t="s">
        <v>140</v>
      </c>
      <c r="I8" s="9">
        <v>66</v>
      </c>
      <c r="J8" s="9">
        <v>14.8</v>
      </c>
      <c r="K8" s="9">
        <v>45</v>
      </c>
      <c r="L8" s="9">
        <v>60</v>
      </c>
      <c r="M8" s="10">
        <v>0.7</v>
      </c>
      <c r="N8" s="10">
        <v>0.3</v>
      </c>
      <c r="O8" s="9">
        <v>75</v>
      </c>
      <c r="P8" s="9">
        <v>1</v>
      </c>
      <c r="Q8" s="9">
        <v>59.7</v>
      </c>
      <c r="R8" s="3">
        <v>0</v>
      </c>
      <c r="S8" s="3" t="s">
        <v>335</v>
      </c>
      <c r="T8" s="3" t="s">
        <v>324</v>
      </c>
      <c r="U8" s="3">
        <v>0</v>
      </c>
      <c r="V8" s="3" t="s">
        <v>335</v>
      </c>
      <c r="W8" s="3" t="s">
        <v>325</v>
      </c>
      <c r="X8" s="3">
        <v>1</v>
      </c>
      <c r="Y8" s="3" t="s">
        <v>126</v>
      </c>
      <c r="Z8" s="3" t="s">
        <v>338</v>
      </c>
      <c r="AA8" s="3" t="s">
        <v>339</v>
      </c>
      <c r="AB8" s="3" t="s">
        <v>328</v>
      </c>
    </row>
    <row r="9" ht="48.75" customHeight="1" spans="1:28">
      <c r="A9" s="3">
        <v>6</v>
      </c>
      <c r="B9" s="3" t="s">
        <v>141</v>
      </c>
      <c r="C9" s="3" t="s">
        <v>111</v>
      </c>
      <c r="D9" s="3" t="s">
        <v>112</v>
      </c>
      <c r="E9" s="3" t="s">
        <v>142</v>
      </c>
      <c r="F9" s="3" t="s">
        <v>114</v>
      </c>
      <c r="G9" s="3" t="s">
        <v>115</v>
      </c>
      <c r="H9" s="3" t="s">
        <v>144</v>
      </c>
      <c r="I9" s="9">
        <v>59</v>
      </c>
      <c r="J9" s="9">
        <v>10</v>
      </c>
      <c r="K9" s="9">
        <v>75</v>
      </c>
      <c r="L9" s="9">
        <v>60</v>
      </c>
      <c r="M9" s="10">
        <v>0.7</v>
      </c>
      <c r="N9" s="10">
        <v>0.3</v>
      </c>
      <c r="O9" s="9">
        <v>75</v>
      </c>
      <c r="P9" s="9">
        <v>0</v>
      </c>
      <c r="Q9" s="9">
        <v>63.8</v>
      </c>
      <c r="R9" s="3">
        <v>0</v>
      </c>
      <c r="S9" s="3" t="s">
        <v>335</v>
      </c>
      <c r="T9" s="3" t="s">
        <v>331</v>
      </c>
      <c r="U9" s="3">
        <v>1</v>
      </c>
      <c r="V9" s="3" t="s">
        <v>323</v>
      </c>
      <c r="W9" s="3" t="s">
        <v>331</v>
      </c>
      <c r="X9" s="3">
        <v>0</v>
      </c>
      <c r="Y9" s="3" t="s">
        <v>118</v>
      </c>
      <c r="Z9" s="3" t="s">
        <v>340</v>
      </c>
      <c r="AA9" s="3" t="s">
        <v>333</v>
      </c>
      <c r="AB9" s="3" t="s">
        <v>334</v>
      </c>
    </row>
    <row r="10" ht="48.75" customHeight="1" spans="1:28">
      <c r="A10" s="3">
        <v>7</v>
      </c>
      <c r="B10" s="3" t="s">
        <v>145</v>
      </c>
      <c r="C10" s="3" t="s">
        <v>111</v>
      </c>
      <c r="D10" s="3" t="s">
        <v>112</v>
      </c>
      <c r="E10" s="3" t="s">
        <v>146</v>
      </c>
      <c r="F10" s="3" t="s">
        <v>114</v>
      </c>
      <c r="G10" s="3" t="s">
        <v>115</v>
      </c>
      <c r="H10" s="3" t="s">
        <v>148</v>
      </c>
      <c r="I10" s="9">
        <v>52</v>
      </c>
      <c r="J10" s="9">
        <v>13.2</v>
      </c>
      <c r="K10" s="9">
        <v>55</v>
      </c>
      <c r="L10" s="9">
        <v>60</v>
      </c>
      <c r="M10" s="10">
        <v>0.7</v>
      </c>
      <c r="N10" s="10">
        <v>0.3</v>
      </c>
      <c r="O10" s="9">
        <v>75</v>
      </c>
      <c r="P10" s="9">
        <v>0</v>
      </c>
      <c r="Q10" s="9">
        <v>52.9</v>
      </c>
      <c r="R10" s="3">
        <v>0</v>
      </c>
      <c r="S10" s="3" t="s">
        <v>335</v>
      </c>
      <c r="T10" s="3" t="s">
        <v>324</v>
      </c>
      <c r="U10" s="3">
        <v>0</v>
      </c>
      <c r="V10" s="3" t="s">
        <v>335</v>
      </c>
      <c r="W10" s="3" t="s">
        <v>325</v>
      </c>
      <c r="X10" s="3">
        <v>1</v>
      </c>
      <c r="Y10" s="3" t="s">
        <v>126</v>
      </c>
      <c r="Z10" s="3" t="s">
        <v>341</v>
      </c>
      <c r="AA10" s="3" t="s">
        <v>342</v>
      </c>
      <c r="AB10" s="3" t="s">
        <v>328</v>
      </c>
    </row>
    <row r="11" ht="48.75" customHeight="1" spans="1:28">
      <c r="A11" s="3">
        <v>8</v>
      </c>
      <c r="B11" s="3" t="s">
        <v>149</v>
      </c>
      <c r="C11" s="3" t="s">
        <v>111</v>
      </c>
      <c r="D11" s="3" t="s">
        <v>112</v>
      </c>
      <c r="E11" s="3" t="s">
        <v>139</v>
      </c>
      <c r="F11" s="3" t="s">
        <v>114</v>
      </c>
      <c r="G11" s="3" t="s">
        <v>115</v>
      </c>
      <c r="H11" s="3" t="s">
        <v>151</v>
      </c>
      <c r="I11" s="9">
        <v>44</v>
      </c>
      <c r="J11" s="9">
        <v>17.2</v>
      </c>
      <c r="K11" s="9">
        <v>30</v>
      </c>
      <c r="L11" s="9">
        <v>60</v>
      </c>
      <c r="M11" s="10">
        <v>0.7</v>
      </c>
      <c r="N11" s="10">
        <v>0.3</v>
      </c>
      <c r="O11" s="9">
        <v>75</v>
      </c>
      <c r="P11" s="9">
        <v>0</v>
      </c>
      <c r="Q11" s="9">
        <v>39.8</v>
      </c>
      <c r="R11" s="3">
        <v>0</v>
      </c>
      <c r="S11" s="3" t="s">
        <v>335</v>
      </c>
      <c r="T11" s="3" t="s">
        <v>324</v>
      </c>
      <c r="U11" s="3">
        <v>0</v>
      </c>
      <c r="V11" s="3" t="s">
        <v>335</v>
      </c>
      <c r="W11" s="3" t="s">
        <v>325</v>
      </c>
      <c r="X11" s="3">
        <v>1</v>
      </c>
      <c r="Y11" s="3" t="s">
        <v>126</v>
      </c>
      <c r="Z11" s="3" t="s">
        <v>343</v>
      </c>
      <c r="AA11" s="3" t="s">
        <v>344</v>
      </c>
      <c r="AB11" s="3" t="s">
        <v>328</v>
      </c>
    </row>
    <row r="12" ht="48.75" customHeight="1" spans="1:28">
      <c r="A12" s="3">
        <v>9</v>
      </c>
      <c r="B12" s="3" t="s">
        <v>152</v>
      </c>
      <c r="C12" s="3" t="s">
        <v>111</v>
      </c>
      <c r="D12" s="3" t="s">
        <v>112</v>
      </c>
      <c r="E12" s="3" t="s">
        <v>113</v>
      </c>
      <c r="F12" s="3" t="s">
        <v>153</v>
      </c>
      <c r="G12" s="3" t="s">
        <v>154</v>
      </c>
      <c r="H12" s="3" t="s">
        <v>140</v>
      </c>
      <c r="I12" s="9">
        <v>83</v>
      </c>
      <c r="J12" s="9">
        <v>9.2</v>
      </c>
      <c r="K12" s="9">
        <v>80</v>
      </c>
      <c r="L12" s="9">
        <v>60</v>
      </c>
      <c r="M12" s="10">
        <v>0.7</v>
      </c>
      <c r="N12" s="10">
        <v>0.3</v>
      </c>
      <c r="O12" s="9">
        <v>75</v>
      </c>
      <c r="P12" s="9">
        <v>1</v>
      </c>
      <c r="Q12" s="9">
        <v>82.1</v>
      </c>
      <c r="R12" s="3">
        <v>1</v>
      </c>
      <c r="S12" s="3" t="s">
        <v>323</v>
      </c>
      <c r="T12" s="3" t="s">
        <v>324</v>
      </c>
      <c r="U12" s="3">
        <v>1</v>
      </c>
      <c r="V12" s="3" t="s">
        <v>323</v>
      </c>
      <c r="W12" s="3" t="s">
        <v>325</v>
      </c>
      <c r="X12" s="3">
        <v>1</v>
      </c>
      <c r="Y12" s="3" t="s">
        <v>126</v>
      </c>
      <c r="Z12" s="3" t="s">
        <v>345</v>
      </c>
      <c r="AA12" s="3" t="s">
        <v>330</v>
      </c>
      <c r="AB12" s="3" t="s">
        <v>328</v>
      </c>
    </row>
    <row r="13" ht="48.75" customHeight="1" spans="1:28">
      <c r="A13" s="3">
        <v>10</v>
      </c>
      <c r="B13" s="3" t="s">
        <v>155</v>
      </c>
      <c r="C13" s="3" t="s">
        <v>111</v>
      </c>
      <c r="D13" s="3" t="s">
        <v>112</v>
      </c>
      <c r="E13" s="3" t="s">
        <v>113</v>
      </c>
      <c r="F13" s="3" t="s">
        <v>153</v>
      </c>
      <c r="G13" s="3" t="s">
        <v>154</v>
      </c>
      <c r="H13" s="3" t="s">
        <v>144</v>
      </c>
      <c r="I13" s="9">
        <v>76</v>
      </c>
      <c r="J13" s="9">
        <v>11.6</v>
      </c>
      <c r="K13" s="9">
        <v>65</v>
      </c>
      <c r="L13" s="9">
        <v>60</v>
      </c>
      <c r="M13" s="10">
        <v>0.7</v>
      </c>
      <c r="N13" s="10">
        <v>0.3</v>
      </c>
      <c r="O13" s="9">
        <v>75</v>
      </c>
      <c r="P13" s="9">
        <v>1</v>
      </c>
      <c r="Q13" s="9">
        <v>72.7</v>
      </c>
      <c r="R13" s="3">
        <v>0</v>
      </c>
      <c r="S13" s="3" t="s">
        <v>335</v>
      </c>
      <c r="T13" s="3" t="s">
        <v>331</v>
      </c>
      <c r="U13" s="3">
        <v>0</v>
      </c>
      <c r="V13" s="3" t="s">
        <v>335</v>
      </c>
      <c r="W13" s="3" t="s">
        <v>331</v>
      </c>
      <c r="X13" s="3">
        <v>1</v>
      </c>
      <c r="Y13" s="3" t="s">
        <v>126</v>
      </c>
      <c r="Z13" s="3" t="s">
        <v>346</v>
      </c>
      <c r="AA13" s="3" t="s">
        <v>347</v>
      </c>
      <c r="AB13" s="3" t="s">
        <v>334</v>
      </c>
    </row>
    <row r="14" ht="48.75" customHeight="1" spans="1:28">
      <c r="A14" s="3">
        <v>11</v>
      </c>
      <c r="B14" s="3" t="s">
        <v>156</v>
      </c>
      <c r="C14" s="3" t="s">
        <v>111</v>
      </c>
      <c r="D14" s="3" t="s">
        <v>112</v>
      </c>
      <c r="E14" s="3" t="s">
        <v>113</v>
      </c>
      <c r="F14" s="3" t="s">
        <v>153</v>
      </c>
      <c r="G14" s="3" t="s">
        <v>154</v>
      </c>
      <c r="H14" s="3" t="s">
        <v>148</v>
      </c>
      <c r="I14" s="9">
        <v>71</v>
      </c>
      <c r="J14" s="9">
        <v>13.2</v>
      </c>
      <c r="K14" s="9">
        <v>55</v>
      </c>
      <c r="L14" s="9">
        <v>60</v>
      </c>
      <c r="M14" s="10">
        <v>0.7</v>
      </c>
      <c r="N14" s="10">
        <v>0.3</v>
      </c>
      <c r="O14" s="9">
        <v>75</v>
      </c>
      <c r="P14" s="9">
        <v>1</v>
      </c>
      <c r="Q14" s="9">
        <v>66.2</v>
      </c>
      <c r="R14" s="3">
        <v>0</v>
      </c>
      <c r="S14" s="3" t="s">
        <v>335</v>
      </c>
      <c r="T14" s="3" t="s">
        <v>324</v>
      </c>
      <c r="U14" s="3">
        <v>0</v>
      </c>
      <c r="V14" s="3" t="s">
        <v>335</v>
      </c>
      <c r="W14" s="3" t="s">
        <v>325</v>
      </c>
      <c r="X14" s="3">
        <v>1</v>
      </c>
      <c r="Y14" s="3" t="s">
        <v>126</v>
      </c>
      <c r="Z14" s="3" t="s">
        <v>348</v>
      </c>
      <c r="AA14" s="3" t="s">
        <v>349</v>
      </c>
      <c r="AB14" s="3" t="s">
        <v>328</v>
      </c>
    </row>
    <row r="15" ht="48.75" customHeight="1" spans="1:28">
      <c r="A15" s="3">
        <v>12</v>
      </c>
      <c r="B15" s="3" t="s">
        <v>157</v>
      </c>
      <c r="C15" s="3" t="s">
        <v>111</v>
      </c>
      <c r="D15" s="3" t="s">
        <v>112</v>
      </c>
      <c r="E15" s="3" t="s">
        <v>113</v>
      </c>
      <c r="F15" s="3" t="s">
        <v>153</v>
      </c>
      <c r="G15" s="3" t="s">
        <v>154</v>
      </c>
      <c r="H15" s="3" t="s">
        <v>151</v>
      </c>
      <c r="I15" s="9">
        <v>68</v>
      </c>
      <c r="J15" s="9">
        <v>15.3</v>
      </c>
      <c r="K15" s="9">
        <v>41.9</v>
      </c>
      <c r="L15" s="9">
        <v>60</v>
      </c>
      <c r="M15" s="10">
        <v>0.7</v>
      </c>
      <c r="N15" s="10">
        <v>0.3</v>
      </c>
      <c r="O15" s="9">
        <v>75</v>
      </c>
      <c r="P15" s="9">
        <v>1</v>
      </c>
      <c r="Q15" s="9">
        <v>60.2</v>
      </c>
      <c r="R15" s="3">
        <v>0</v>
      </c>
      <c r="S15" s="3" t="s">
        <v>335</v>
      </c>
      <c r="T15" s="3" t="s">
        <v>324</v>
      </c>
      <c r="U15" s="3">
        <v>0</v>
      </c>
      <c r="V15" s="3" t="s">
        <v>335</v>
      </c>
      <c r="W15" s="3" t="s">
        <v>325</v>
      </c>
      <c r="X15" s="3">
        <v>1</v>
      </c>
      <c r="Y15" s="3" t="s">
        <v>126</v>
      </c>
      <c r="Z15" s="3" t="s">
        <v>350</v>
      </c>
      <c r="AA15" s="3" t="s">
        <v>351</v>
      </c>
      <c r="AB15" s="3" t="s">
        <v>328</v>
      </c>
    </row>
    <row r="16" ht="48.75" customHeight="1" spans="1:28">
      <c r="A16" s="3">
        <v>13</v>
      </c>
      <c r="B16" s="3" t="s">
        <v>158</v>
      </c>
      <c r="C16" s="3" t="s">
        <v>111</v>
      </c>
      <c r="D16" s="3" t="s">
        <v>112</v>
      </c>
      <c r="E16" s="3" t="s">
        <v>139</v>
      </c>
      <c r="F16" s="3" t="s">
        <v>153</v>
      </c>
      <c r="G16" s="3" t="s">
        <v>154</v>
      </c>
      <c r="H16" s="3" t="s">
        <v>163</v>
      </c>
      <c r="I16" s="9">
        <v>63</v>
      </c>
      <c r="J16" s="9">
        <v>17.2</v>
      </c>
      <c r="K16" s="9">
        <v>30</v>
      </c>
      <c r="L16" s="9">
        <v>60</v>
      </c>
      <c r="M16" s="10">
        <v>0.7</v>
      </c>
      <c r="N16" s="10">
        <v>0.3</v>
      </c>
      <c r="O16" s="9">
        <v>75</v>
      </c>
      <c r="P16" s="9">
        <v>1</v>
      </c>
      <c r="Q16" s="9">
        <v>53.1</v>
      </c>
      <c r="R16" s="3">
        <v>0</v>
      </c>
      <c r="S16" s="3" t="s">
        <v>335</v>
      </c>
      <c r="T16" s="3" t="s">
        <v>331</v>
      </c>
      <c r="U16" s="3">
        <v>1</v>
      </c>
      <c r="V16" s="3" t="s">
        <v>323</v>
      </c>
      <c r="W16" s="3" t="s">
        <v>331</v>
      </c>
      <c r="X16" s="3">
        <v>0</v>
      </c>
      <c r="Y16" s="3" t="s">
        <v>118</v>
      </c>
      <c r="Z16" s="3" t="s">
        <v>352</v>
      </c>
      <c r="AA16" s="3" t="s">
        <v>353</v>
      </c>
      <c r="AB16" s="3" t="s">
        <v>334</v>
      </c>
    </row>
    <row r="17" ht="48.75" customHeight="1" spans="1:28">
      <c r="A17" s="3">
        <v>14</v>
      </c>
      <c r="B17" s="3" t="s">
        <v>164</v>
      </c>
      <c r="C17" s="3" t="s">
        <v>111</v>
      </c>
      <c r="D17" s="3" t="s">
        <v>112</v>
      </c>
      <c r="E17" s="3" t="s">
        <v>146</v>
      </c>
      <c r="F17" s="3" t="s">
        <v>153</v>
      </c>
      <c r="G17" s="3" t="s">
        <v>154</v>
      </c>
      <c r="H17" s="3" t="s">
        <v>168</v>
      </c>
      <c r="I17" s="9">
        <v>61</v>
      </c>
      <c r="J17" s="9">
        <v>18.5</v>
      </c>
      <c r="K17" s="9">
        <v>21.9</v>
      </c>
      <c r="L17" s="9">
        <v>60</v>
      </c>
      <c r="M17" s="10">
        <v>0.7</v>
      </c>
      <c r="N17" s="10">
        <v>0.3</v>
      </c>
      <c r="O17" s="9">
        <v>75</v>
      </c>
      <c r="P17" s="9">
        <v>1</v>
      </c>
      <c r="Q17" s="9">
        <v>49.3</v>
      </c>
      <c r="R17" s="3">
        <v>0</v>
      </c>
      <c r="S17" s="3" t="s">
        <v>335</v>
      </c>
      <c r="T17" s="3" t="s">
        <v>331</v>
      </c>
      <c r="U17" s="3">
        <v>0</v>
      </c>
      <c r="V17" s="3" t="s">
        <v>335</v>
      </c>
      <c r="W17" s="3" t="s">
        <v>331</v>
      </c>
      <c r="X17" s="3">
        <v>1</v>
      </c>
      <c r="Y17" s="3" t="s">
        <v>126</v>
      </c>
      <c r="Z17" s="3" t="s">
        <v>354</v>
      </c>
      <c r="AA17" s="3" t="s">
        <v>355</v>
      </c>
      <c r="AB17" s="3" t="s">
        <v>334</v>
      </c>
    </row>
    <row r="18" ht="48.75" customHeight="1" spans="1:28">
      <c r="A18" s="3">
        <v>15</v>
      </c>
      <c r="B18" s="3" t="s">
        <v>169</v>
      </c>
      <c r="C18" s="3" t="s">
        <v>111</v>
      </c>
      <c r="D18" s="3" t="s">
        <v>112</v>
      </c>
      <c r="E18" s="3" t="s">
        <v>139</v>
      </c>
      <c r="F18" s="3" t="s">
        <v>153</v>
      </c>
      <c r="G18" s="3" t="s">
        <v>154</v>
      </c>
      <c r="H18" s="3" t="s">
        <v>173</v>
      </c>
      <c r="I18" s="9">
        <v>57</v>
      </c>
      <c r="J18" s="9">
        <v>10.8</v>
      </c>
      <c r="K18" s="9">
        <v>70</v>
      </c>
      <c r="L18" s="9">
        <v>60</v>
      </c>
      <c r="M18" s="10">
        <v>0.7</v>
      </c>
      <c r="N18" s="10">
        <v>0.3</v>
      </c>
      <c r="O18" s="9">
        <v>75</v>
      </c>
      <c r="P18" s="9">
        <v>0</v>
      </c>
      <c r="Q18" s="9">
        <v>60.9</v>
      </c>
      <c r="R18" s="3">
        <v>0</v>
      </c>
      <c r="S18" s="3" t="s">
        <v>335</v>
      </c>
      <c r="T18" s="3" t="s">
        <v>331</v>
      </c>
      <c r="U18" s="3">
        <v>1</v>
      </c>
      <c r="V18" s="3" t="s">
        <v>323</v>
      </c>
      <c r="W18" s="3" t="s">
        <v>331</v>
      </c>
      <c r="X18" s="3">
        <v>0</v>
      </c>
      <c r="Y18" s="3" t="s">
        <v>118</v>
      </c>
      <c r="Z18" s="3" t="s">
        <v>356</v>
      </c>
      <c r="AA18" s="3" t="s">
        <v>357</v>
      </c>
      <c r="AB18" s="3" t="s">
        <v>334</v>
      </c>
    </row>
    <row r="19" ht="48.75" customHeight="1" spans="1:28">
      <c r="A19" s="3">
        <v>16</v>
      </c>
      <c r="B19" s="3" t="s">
        <v>174</v>
      </c>
      <c r="C19" s="3" t="s">
        <v>111</v>
      </c>
      <c r="D19" s="3" t="s">
        <v>112</v>
      </c>
      <c r="E19" s="3" t="s">
        <v>146</v>
      </c>
      <c r="F19" s="3" t="s">
        <v>153</v>
      </c>
      <c r="G19" s="3" t="s">
        <v>154</v>
      </c>
      <c r="H19" s="3" t="s">
        <v>179</v>
      </c>
      <c r="I19" s="9">
        <v>54</v>
      </c>
      <c r="J19" s="9">
        <v>14</v>
      </c>
      <c r="K19" s="9">
        <v>50</v>
      </c>
      <c r="L19" s="9">
        <v>60</v>
      </c>
      <c r="M19" s="10">
        <v>0.7</v>
      </c>
      <c r="N19" s="10">
        <v>0.3</v>
      </c>
      <c r="O19" s="9">
        <v>75</v>
      </c>
      <c r="P19" s="9">
        <v>0</v>
      </c>
      <c r="Q19" s="9">
        <v>52.8</v>
      </c>
      <c r="R19" s="3">
        <v>0</v>
      </c>
      <c r="S19" s="3" t="s">
        <v>335</v>
      </c>
      <c r="T19" s="3" t="s">
        <v>324</v>
      </c>
      <c r="U19" s="3">
        <v>0</v>
      </c>
      <c r="V19" s="3" t="s">
        <v>335</v>
      </c>
      <c r="W19" s="3" t="s">
        <v>325</v>
      </c>
      <c r="X19" s="3">
        <v>1</v>
      </c>
      <c r="Y19" s="3" t="s">
        <v>126</v>
      </c>
      <c r="Z19" s="3" t="s">
        <v>358</v>
      </c>
      <c r="AA19" s="3" t="s">
        <v>359</v>
      </c>
      <c r="AB19" s="3" t="s">
        <v>328</v>
      </c>
    </row>
    <row r="20" ht="48.75" customHeight="1" spans="1:28">
      <c r="A20" s="3">
        <v>17</v>
      </c>
      <c r="B20" s="3" t="s">
        <v>180</v>
      </c>
      <c r="C20" s="3" t="s">
        <v>181</v>
      </c>
      <c r="D20" s="3" t="s">
        <v>182</v>
      </c>
      <c r="E20" s="11" t="s">
        <v>113</v>
      </c>
      <c r="F20" s="3" t="s">
        <v>114</v>
      </c>
      <c r="G20" s="3" t="s">
        <v>115</v>
      </c>
      <c r="H20" s="4" t="s">
        <v>184</v>
      </c>
      <c r="I20" s="9">
        <v>92</v>
      </c>
      <c r="J20" s="9">
        <v>9.8</v>
      </c>
      <c r="K20" s="9">
        <v>90</v>
      </c>
      <c r="L20" s="9">
        <v>60</v>
      </c>
      <c r="M20" s="10">
        <v>0.7</v>
      </c>
      <c r="N20" s="10">
        <v>0.3</v>
      </c>
      <c r="O20" s="9">
        <v>75</v>
      </c>
      <c r="P20" s="9">
        <v>1</v>
      </c>
      <c r="Q20" s="9">
        <v>91.4</v>
      </c>
      <c r="R20" s="3">
        <v>1</v>
      </c>
      <c r="S20" s="3" t="s">
        <v>323</v>
      </c>
      <c r="T20" s="3" t="s">
        <v>324</v>
      </c>
      <c r="U20" s="3">
        <v>1</v>
      </c>
      <c r="V20" s="3" t="s">
        <v>323</v>
      </c>
      <c r="W20" s="3" t="s">
        <v>325</v>
      </c>
      <c r="X20" s="3">
        <v>1</v>
      </c>
      <c r="Y20" s="3" t="s">
        <v>126</v>
      </c>
      <c r="Z20" s="3" t="s">
        <v>326</v>
      </c>
      <c r="AA20" s="3" t="s">
        <v>360</v>
      </c>
      <c r="AB20" s="3" t="s">
        <v>328</v>
      </c>
    </row>
    <row r="21" ht="48.75" customHeight="1" spans="1:28">
      <c r="A21" s="3">
        <v>18</v>
      </c>
      <c r="B21" s="3" t="s">
        <v>185</v>
      </c>
      <c r="C21" s="3" t="s">
        <v>181</v>
      </c>
      <c r="D21" s="3" t="s">
        <v>182</v>
      </c>
      <c r="E21" s="11" t="s">
        <v>113</v>
      </c>
      <c r="F21" s="3" t="s">
        <v>114</v>
      </c>
      <c r="G21" s="3" t="s">
        <v>115</v>
      </c>
      <c r="H21" s="4" t="s">
        <v>188</v>
      </c>
      <c r="I21" s="9">
        <v>85</v>
      </c>
      <c r="J21" s="9">
        <v>11.6</v>
      </c>
      <c r="K21" s="9">
        <v>80</v>
      </c>
      <c r="L21" s="9">
        <v>60</v>
      </c>
      <c r="M21" s="10">
        <v>0.7</v>
      </c>
      <c r="N21" s="10">
        <v>0.3</v>
      </c>
      <c r="O21" s="9">
        <v>75</v>
      </c>
      <c r="P21" s="9">
        <v>1</v>
      </c>
      <c r="Q21" s="9">
        <v>83.5</v>
      </c>
      <c r="R21" s="3">
        <v>1</v>
      </c>
      <c r="S21" s="3" t="s">
        <v>323</v>
      </c>
      <c r="T21" s="3" t="s">
        <v>324</v>
      </c>
      <c r="U21" s="3">
        <v>1</v>
      </c>
      <c r="V21" s="3" t="s">
        <v>323</v>
      </c>
      <c r="W21" s="3" t="s">
        <v>325</v>
      </c>
      <c r="X21" s="3">
        <v>1</v>
      </c>
      <c r="Y21" s="3" t="s">
        <v>126</v>
      </c>
      <c r="Z21" s="3" t="s">
        <v>329</v>
      </c>
      <c r="AA21" s="3" t="s">
        <v>361</v>
      </c>
      <c r="AB21" s="3" t="s">
        <v>328</v>
      </c>
    </row>
    <row r="22" ht="48.75" customHeight="1" spans="1:28">
      <c r="A22" s="3">
        <v>19</v>
      </c>
      <c r="B22" s="3" t="s">
        <v>189</v>
      </c>
      <c r="C22" s="3" t="s">
        <v>181</v>
      </c>
      <c r="D22" s="3" t="s">
        <v>182</v>
      </c>
      <c r="E22" s="11" t="s">
        <v>113</v>
      </c>
      <c r="F22" s="3" t="s">
        <v>114</v>
      </c>
      <c r="G22" s="3" t="s">
        <v>115</v>
      </c>
      <c r="H22" s="6" t="s">
        <v>190</v>
      </c>
      <c r="I22" s="9">
        <v>78</v>
      </c>
      <c r="J22" s="9">
        <v>12.5</v>
      </c>
      <c r="K22" s="9">
        <v>75</v>
      </c>
      <c r="L22" s="9">
        <v>60</v>
      </c>
      <c r="M22" s="10">
        <v>0.7</v>
      </c>
      <c r="N22" s="10">
        <v>0.3</v>
      </c>
      <c r="O22" s="9">
        <v>75</v>
      </c>
      <c r="P22" s="9">
        <v>1</v>
      </c>
      <c r="Q22" s="9">
        <v>77.1</v>
      </c>
      <c r="R22" s="3">
        <v>1</v>
      </c>
      <c r="S22" s="3" t="s">
        <v>323</v>
      </c>
      <c r="T22" s="3" t="s">
        <v>331</v>
      </c>
      <c r="U22" s="3">
        <v>1</v>
      </c>
      <c r="V22" s="3" t="s">
        <v>323</v>
      </c>
      <c r="W22" s="3" t="s">
        <v>331</v>
      </c>
      <c r="X22" s="3">
        <v>1</v>
      </c>
      <c r="Y22" s="3" t="s">
        <v>126</v>
      </c>
      <c r="Z22" s="3" t="s">
        <v>332</v>
      </c>
      <c r="AA22" s="3" t="s">
        <v>362</v>
      </c>
      <c r="AB22" s="3" t="s">
        <v>334</v>
      </c>
    </row>
    <row r="23" ht="48.75" customHeight="1" spans="1:28">
      <c r="A23" s="3">
        <v>20</v>
      </c>
      <c r="B23" s="3" t="s">
        <v>191</v>
      </c>
      <c r="C23" s="3" t="s">
        <v>181</v>
      </c>
      <c r="D23" s="3" t="s">
        <v>182</v>
      </c>
      <c r="E23" s="11" t="s">
        <v>113</v>
      </c>
      <c r="F23" s="3" t="s">
        <v>114</v>
      </c>
      <c r="G23" s="3" t="s">
        <v>115</v>
      </c>
      <c r="H23" s="5" t="s">
        <v>192</v>
      </c>
      <c r="I23" s="9">
        <v>72</v>
      </c>
      <c r="J23" s="9">
        <v>14.3</v>
      </c>
      <c r="K23" s="9">
        <v>65</v>
      </c>
      <c r="L23" s="9">
        <v>60</v>
      </c>
      <c r="M23" s="10">
        <v>0.7</v>
      </c>
      <c r="N23" s="10">
        <v>0.3</v>
      </c>
      <c r="O23" s="9">
        <v>75</v>
      </c>
      <c r="P23" s="9">
        <v>1</v>
      </c>
      <c r="Q23" s="9">
        <v>69.9</v>
      </c>
      <c r="R23" s="3">
        <v>0</v>
      </c>
      <c r="S23" s="3" t="s">
        <v>335</v>
      </c>
      <c r="T23" s="3" t="s">
        <v>324</v>
      </c>
      <c r="U23" s="3">
        <v>0</v>
      </c>
      <c r="V23" s="3" t="s">
        <v>335</v>
      </c>
      <c r="W23" s="3" t="s">
        <v>325</v>
      </c>
      <c r="X23" s="3">
        <v>1</v>
      </c>
      <c r="Y23" s="3" t="s">
        <v>126</v>
      </c>
      <c r="Z23" s="3" t="s">
        <v>336</v>
      </c>
      <c r="AA23" s="3" t="s">
        <v>363</v>
      </c>
      <c r="AB23" s="3" t="s">
        <v>328</v>
      </c>
    </row>
    <row r="24" ht="48.75" customHeight="1" spans="1:28">
      <c r="A24" s="3">
        <v>21</v>
      </c>
      <c r="B24" s="3" t="s">
        <v>193</v>
      </c>
      <c r="C24" s="3" t="s">
        <v>181</v>
      </c>
      <c r="D24" s="3" t="s">
        <v>182</v>
      </c>
      <c r="E24" s="12" t="s">
        <v>194</v>
      </c>
      <c r="F24" s="3" t="s">
        <v>114</v>
      </c>
      <c r="G24" s="3" t="s">
        <v>115</v>
      </c>
      <c r="H24" s="6" t="s">
        <v>199</v>
      </c>
      <c r="I24" s="9">
        <v>66</v>
      </c>
      <c r="J24" s="9">
        <v>17.9</v>
      </c>
      <c r="K24" s="9">
        <v>45</v>
      </c>
      <c r="L24" s="9">
        <v>60</v>
      </c>
      <c r="M24" s="10">
        <v>0.7</v>
      </c>
      <c r="N24" s="10">
        <v>0.3</v>
      </c>
      <c r="O24" s="9">
        <v>75</v>
      </c>
      <c r="P24" s="9">
        <v>1</v>
      </c>
      <c r="Q24" s="9">
        <v>59.7</v>
      </c>
      <c r="R24" s="3">
        <v>0</v>
      </c>
      <c r="S24" s="3" t="s">
        <v>335</v>
      </c>
      <c r="T24" s="3" t="s">
        <v>324</v>
      </c>
      <c r="U24" s="3">
        <v>0</v>
      </c>
      <c r="V24" s="3" t="s">
        <v>335</v>
      </c>
      <c r="W24" s="3" t="s">
        <v>325</v>
      </c>
      <c r="X24" s="3">
        <v>1</v>
      </c>
      <c r="Y24" s="3" t="s">
        <v>126</v>
      </c>
      <c r="Z24" s="3" t="s">
        <v>338</v>
      </c>
      <c r="AA24" s="3" t="s">
        <v>364</v>
      </c>
      <c r="AB24" s="3" t="s">
        <v>328</v>
      </c>
    </row>
    <row r="25" ht="48.75" customHeight="1" spans="1:28">
      <c r="A25" s="3">
        <v>22</v>
      </c>
      <c r="B25" s="3" t="s">
        <v>200</v>
      </c>
      <c r="C25" s="3" t="s">
        <v>181</v>
      </c>
      <c r="D25" s="3" t="s">
        <v>182</v>
      </c>
      <c r="E25" s="13" t="s">
        <v>194</v>
      </c>
      <c r="F25" s="3" t="s">
        <v>114</v>
      </c>
      <c r="G25" s="3" t="s">
        <v>115</v>
      </c>
      <c r="H25" s="5" t="s">
        <v>204</v>
      </c>
      <c r="I25" s="9">
        <v>59</v>
      </c>
      <c r="J25" s="9">
        <v>12.5</v>
      </c>
      <c r="K25" s="9">
        <v>75</v>
      </c>
      <c r="L25" s="9">
        <v>60</v>
      </c>
      <c r="M25" s="10">
        <v>0.7</v>
      </c>
      <c r="N25" s="10">
        <v>0.3</v>
      </c>
      <c r="O25" s="9">
        <v>75</v>
      </c>
      <c r="P25" s="9">
        <v>0</v>
      </c>
      <c r="Q25" s="9">
        <v>63.8</v>
      </c>
      <c r="R25" s="3">
        <v>0</v>
      </c>
      <c r="S25" s="3" t="s">
        <v>335</v>
      </c>
      <c r="T25" s="3" t="s">
        <v>331</v>
      </c>
      <c r="U25" s="3">
        <v>1</v>
      </c>
      <c r="V25" s="3" t="s">
        <v>323</v>
      </c>
      <c r="W25" s="3" t="s">
        <v>331</v>
      </c>
      <c r="X25" s="3">
        <v>0</v>
      </c>
      <c r="Y25" s="3" t="s">
        <v>118</v>
      </c>
      <c r="Z25" s="3" t="s">
        <v>340</v>
      </c>
      <c r="AA25" s="3" t="s">
        <v>365</v>
      </c>
      <c r="AB25" s="3" t="s">
        <v>334</v>
      </c>
    </row>
    <row r="26" ht="48.75" customHeight="1" spans="1:28">
      <c r="A26" s="3">
        <v>23</v>
      </c>
      <c r="B26" s="3" t="s">
        <v>205</v>
      </c>
      <c r="C26" s="3" t="s">
        <v>181</v>
      </c>
      <c r="D26" s="3" t="s">
        <v>182</v>
      </c>
      <c r="E26" s="12" t="s">
        <v>206</v>
      </c>
      <c r="F26" s="3" t="s">
        <v>114</v>
      </c>
      <c r="G26" s="3" t="s">
        <v>115</v>
      </c>
      <c r="H26" s="6" t="s">
        <v>210</v>
      </c>
      <c r="I26" s="9">
        <v>52</v>
      </c>
      <c r="J26" s="9">
        <v>16.1</v>
      </c>
      <c r="K26" s="9">
        <v>55</v>
      </c>
      <c r="L26" s="9">
        <v>60</v>
      </c>
      <c r="M26" s="10">
        <v>0.7</v>
      </c>
      <c r="N26" s="10">
        <v>0.3</v>
      </c>
      <c r="O26" s="9">
        <v>75</v>
      </c>
      <c r="P26" s="9">
        <v>0</v>
      </c>
      <c r="Q26" s="9">
        <v>52.9</v>
      </c>
      <c r="R26" s="3">
        <v>0</v>
      </c>
      <c r="S26" s="3" t="s">
        <v>335</v>
      </c>
      <c r="T26" s="3" t="s">
        <v>324</v>
      </c>
      <c r="U26" s="3">
        <v>0</v>
      </c>
      <c r="V26" s="3" t="s">
        <v>335</v>
      </c>
      <c r="W26" s="3" t="s">
        <v>325</v>
      </c>
      <c r="X26" s="3">
        <v>1</v>
      </c>
      <c r="Y26" s="3" t="s">
        <v>126</v>
      </c>
      <c r="Z26" s="3" t="s">
        <v>341</v>
      </c>
      <c r="AA26" s="3" t="s">
        <v>366</v>
      </c>
      <c r="AB26" s="3" t="s">
        <v>328</v>
      </c>
    </row>
    <row r="27" ht="48.75" customHeight="1" spans="1:28">
      <c r="A27" s="3">
        <v>24</v>
      </c>
      <c r="B27" s="3" t="s">
        <v>211</v>
      </c>
      <c r="C27" s="3" t="s">
        <v>181</v>
      </c>
      <c r="D27" s="3" t="s">
        <v>182</v>
      </c>
      <c r="E27" s="13" t="s">
        <v>212</v>
      </c>
      <c r="F27" s="3" t="s">
        <v>114</v>
      </c>
      <c r="G27" s="3" t="s">
        <v>115</v>
      </c>
      <c r="H27" s="5" t="s">
        <v>217</v>
      </c>
      <c r="I27" s="9">
        <v>44</v>
      </c>
      <c r="J27" s="9">
        <v>20.6</v>
      </c>
      <c r="K27" s="9">
        <v>30</v>
      </c>
      <c r="L27" s="9">
        <v>60</v>
      </c>
      <c r="M27" s="10">
        <v>0.7</v>
      </c>
      <c r="N27" s="10">
        <v>0.3</v>
      </c>
      <c r="O27" s="9">
        <v>75</v>
      </c>
      <c r="P27" s="9">
        <v>0</v>
      </c>
      <c r="Q27" s="9">
        <v>39.8</v>
      </c>
      <c r="R27" s="3">
        <v>0</v>
      </c>
      <c r="S27" s="3" t="s">
        <v>335</v>
      </c>
      <c r="T27" s="3" t="s">
        <v>324</v>
      </c>
      <c r="U27" s="3">
        <v>0</v>
      </c>
      <c r="V27" s="3" t="s">
        <v>335</v>
      </c>
      <c r="W27" s="3" t="s">
        <v>325</v>
      </c>
      <c r="X27" s="3">
        <v>1</v>
      </c>
      <c r="Y27" s="3" t="s">
        <v>126</v>
      </c>
      <c r="Z27" s="3" t="s">
        <v>343</v>
      </c>
      <c r="AA27" s="3" t="s">
        <v>367</v>
      </c>
      <c r="AB27" s="3" t="s">
        <v>328</v>
      </c>
    </row>
    <row r="28" ht="48.75" customHeight="1" spans="1:28">
      <c r="A28" s="3">
        <v>25</v>
      </c>
      <c r="B28" s="3" t="s">
        <v>218</v>
      </c>
      <c r="C28" s="3" t="s">
        <v>181</v>
      </c>
      <c r="D28" s="3" t="s">
        <v>182</v>
      </c>
      <c r="E28" s="12" t="s">
        <v>113</v>
      </c>
      <c r="F28" s="3" t="s">
        <v>153</v>
      </c>
      <c r="G28" s="3" t="s">
        <v>154</v>
      </c>
      <c r="H28" s="6" t="s">
        <v>220</v>
      </c>
      <c r="I28" s="9">
        <v>83</v>
      </c>
      <c r="J28" s="9">
        <v>11.6</v>
      </c>
      <c r="K28" s="9">
        <v>80</v>
      </c>
      <c r="L28" s="9">
        <v>60</v>
      </c>
      <c r="M28" s="10">
        <v>0.7</v>
      </c>
      <c r="N28" s="10">
        <v>0.3</v>
      </c>
      <c r="O28" s="9">
        <v>75</v>
      </c>
      <c r="P28" s="9">
        <v>1</v>
      </c>
      <c r="Q28" s="9">
        <v>82.1</v>
      </c>
      <c r="R28" s="3">
        <v>1</v>
      </c>
      <c r="S28" s="3" t="s">
        <v>323</v>
      </c>
      <c r="T28" s="3" t="s">
        <v>324</v>
      </c>
      <c r="U28" s="3">
        <v>1</v>
      </c>
      <c r="V28" s="3" t="s">
        <v>323</v>
      </c>
      <c r="W28" s="3" t="s">
        <v>325</v>
      </c>
      <c r="X28" s="3">
        <v>1</v>
      </c>
      <c r="Y28" s="3" t="s">
        <v>126</v>
      </c>
      <c r="Z28" s="3" t="s">
        <v>345</v>
      </c>
      <c r="AA28" s="3" t="s">
        <v>361</v>
      </c>
      <c r="AB28" s="3" t="s">
        <v>328</v>
      </c>
    </row>
    <row r="29" ht="48.75" customHeight="1" spans="1:28">
      <c r="A29" s="3">
        <v>26</v>
      </c>
      <c r="B29" s="3" t="s">
        <v>221</v>
      </c>
      <c r="C29" s="3" t="s">
        <v>181</v>
      </c>
      <c r="D29" s="3" t="s">
        <v>182</v>
      </c>
      <c r="E29" s="13" t="s">
        <v>113</v>
      </c>
      <c r="F29" s="3" t="s">
        <v>153</v>
      </c>
      <c r="G29" s="3" t="s">
        <v>154</v>
      </c>
      <c r="H29" s="5" t="s">
        <v>222</v>
      </c>
      <c r="I29" s="9">
        <v>76</v>
      </c>
      <c r="J29" s="9">
        <v>14.3</v>
      </c>
      <c r="K29" s="9">
        <v>65</v>
      </c>
      <c r="L29" s="9">
        <v>60</v>
      </c>
      <c r="M29" s="10">
        <v>0.7</v>
      </c>
      <c r="N29" s="10">
        <v>0.3</v>
      </c>
      <c r="O29" s="9">
        <v>75</v>
      </c>
      <c r="P29" s="9">
        <v>1</v>
      </c>
      <c r="Q29" s="9">
        <v>72.7</v>
      </c>
      <c r="R29" s="3">
        <v>0</v>
      </c>
      <c r="S29" s="3" t="s">
        <v>335</v>
      </c>
      <c r="T29" s="3" t="s">
        <v>331</v>
      </c>
      <c r="U29" s="3">
        <v>0</v>
      </c>
      <c r="V29" s="3" t="s">
        <v>335</v>
      </c>
      <c r="W29" s="3" t="s">
        <v>331</v>
      </c>
      <c r="X29" s="3">
        <v>1</v>
      </c>
      <c r="Y29" s="3" t="s">
        <v>126</v>
      </c>
      <c r="Z29" s="3" t="s">
        <v>346</v>
      </c>
      <c r="AA29" s="3" t="s">
        <v>368</v>
      </c>
      <c r="AB29" s="3" t="s">
        <v>334</v>
      </c>
    </row>
    <row r="30" ht="48.75" customHeight="1" spans="1:28">
      <c r="A30" s="3">
        <v>27</v>
      </c>
      <c r="B30" s="3" t="s">
        <v>223</v>
      </c>
      <c r="C30" s="3" t="s">
        <v>181</v>
      </c>
      <c r="D30" s="3" t="s">
        <v>182</v>
      </c>
      <c r="E30" s="12" t="s">
        <v>113</v>
      </c>
      <c r="F30" s="3" t="s">
        <v>153</v>
      </c>
      <c r="G30" s="3" t="s">
        <v>154</v>
      </c>
      <c r="H30" s="6" t="s">
        <v>224</v>
      </c>
      <c r="I30" s="9">
        <v>71</v>
      </c>
      <c r="J30" s="9">
        <v>16.1</v>
      </c>
      <c r="K30" s="9">
        <v>55</v>
      </c>
      <c r="L30" s="9">
        <v>60</v>
      </c>
      <c r="M30" s="10">
        <v>0.7</v>
      </c>
      <c r="N30" s="10">
        <v>0.3</v>
      </c>
      <c r="O30" s="9">
        <v>75</v>
      </c>
      <c r="P30" s="9">
        <v>1</v>
      </c>
      <c r="Q30" s="9">
        <v>66.2</v>
      </c>
      <c r="R30" s="3">
        <v>0</v>
      </c>
      <c r="S30" s="3" t="s">
        <v>335</v>
      </c>
      <c r="T30" s="3" t="s">
        <v>324</v>
      </c>
      <c r="U30" s="3">
        <v>0</v>
      </c>
      <c r="V30" s="3" t="s">
        <v>335</v>
      </c>
      <c r="W30" s="3" t="s">
        <v>325</v>
      </c>
      <c r="X30" s="3">
        <v>1</v>
      </c>
      <c r="Y30" s="3" t="s">
        <v>126</v>
      </c>
      <c r="Z30" s="3" t="s">
        <v>348</v>
      </c>
      <c r="AA30" s="3" t="s">
        <v>366</v>
      </c>
      <c r="AB30" s="3" t="s">
        <v>328</v>
      </c>
    </row>
    <row r="31" ht="48.75" customHeight="1" spans="1:28">
      <c r="A31" s="3">
        <v>28</v>
      </c>
      <c r="B31" s="3" t="s">
        <v>225</v>
      </c>
      <c r="C31" s="3" t="s">
        <v>181</v>
      </c>
      <c r="D31" s="3" t="s">
        <v>182</v>
      </c>
      <c r="E31" s="13" t="s">
        <v>113</v>
      </c>
      <c r="F31" s="3" t="s">
        <v>153</v>
      </c>
      <c r="G31" s="3" t="s">
        <v>154</v>
      </c>
      <c r="H31" s="5" t="s">
        <v>227</v>
      </c>
      <c r="I31" s="9">
        <v>68</v>
      </c>
      <c r="J31" s="9">
        <v>18.4</v>
      </c>
      <c r="K31" s="9">
        <v>42.2</v>
      </c>
      <c r="L31" s="9">
        <v>60</v>
      </c>
      <c r="M31" s="10">
        <v>0.7</v>
      </c>
      <c r="N31" s="10">
        <v>0.3</v>
      </c>
      <c r="O31" s="9">
        <v>75</v>
      </c>
      <c r="P31" s="9">
        <v>1</v>
      </c>
      <c r="Q31" s="9">
        <v>60.3</v>
      </c>
      <c r="R31" s="3">
        <v>0</v>
      </c>
      <c r="S31" s="3" t="s">
        <v>335</v>
      </c>
      <c r="T31" s="3" t="s">
        <v>324</v>
      </c>
      <c r="U31" s="3">
        <v>0</v>
      </c>
      <c r="V31" s="3" t="s">
        <v>335</v>
      </c>
      <c r="W31" s="3" t="s">
        <v>325</v>
      </c>
      <c r="X31" s="3">
        <v>1</v>
      </c>
      <c r="Y31" s="3" t="s">
        <v>126</v>
      </c>
      <c r="Z31" s="3" t="s">
        <v>369</v>
      </c>
      <c r="AA31" s="3" t="s">
        <v>370</v>
      </c>
      <c r="AB31" s="3" t="s">
        <v>328</v>
      </c>
    </row>
    <row r="32" ht="48.75" customHeight="1" spans="1:28">
      <c r="A32" s="3">
        <v>29</v>
      </c>
      <c r="B32" s="3" t="s">
        <v>228</v>
      </c>
      <c r="C32" s="3" t="s">
        <v>181</v>
      </c>
      <c r="D32" s="3" t="s">
        <v>182</v>
      </c>
      <c r="E32" s="14" t="s">
        <v>212</v>
      </c>
      <c r="F32" s="3" t="s">
        <v>153</v>
      </c>
      <c r="G32" s="3" t="s">
        <v>154</v>
      </c>
      <c r="H32" s="4" t="s">
        <v>232</v>
      </c>
      <c r="I32" s="9">
        <v>63</v>
      </c>
      <c r="J32" s="9">
        <v>20.6</v>
      </c>
      <c r="K32" s="9">
        <v>30</v>
      </c>
      <c r="L32" s="9">
        <v>60</v>
      </c>
      <c r="M32" s="10">
        <v>0.7</v>
      </c>
      <c r="N32" s="10">
        <v>0.3</v>
      </c>
      <c r="O32" s="9">
        <v>75</v>
      </c>
      <c r="P32" s="9">
        <v>1</v>
      </c>
      <c r="Q32" s="9">
        <v>53.1</v>
      </c>
      <c r="R32" s="3">
        <v>0</v>
      </c>
      <c r="S32" s="3" t="s">
        <v>335</v>
      </c>
      <c r="T32" s="3" t="s">
        <v>331</v>
      </c>
      <c r="U32" s="3">
        <v>1</v>
      </c>
      <c r="V32" s="3" t="s">
        <v>323</v>
      </c>
      <c r="W32" s="3" t="s">
        <v>331</v>
      </c>
      <c r="X32" s="3">
        <v>0</v>
      </c>
      <c r="Y32" s="3" t="s">
        <v>118</v>
      </c>
      <c r="Z32" s="3" t="s">
        <v>352</v>
      </c>
      <c r="AA32" s="3" t="s">
        <v>371</v>
      </c>
      <c r="AB32" s="3" t="s">
        <v>334</v>
      </c>
    </row>
    <row r="33" ht="48.75" customHeight="1" spans="1:28">
      <c r="A33" s="3">
        <v>30</v>
      </c>
      <c r="B33" s="3" t="s">
        <v>233</v>
      </c>
      <c r="C33" s="3" t="s">
        <v>181</v>
      </c>
      <c r="D33" s="3" t="s">
        <v>182</v>
      </c>
      <c r="E33" s="13" t="s">
        <v>212</v>
      </c>
      <c r="F33" s="3" t="s">
        <v>153</v>
      </c>
      <c r="G33" s="3" t="s">
        <v>154</v>
      </c>
      <c r="H33" s="5" t="s">
        <v>237</v>
      </c>
      <c r="I33" s="9">
        <v>61</v>
      </c>
      <c r="J33" s="9">
        <v>22</v>
      </c>
      <c r="K33" s="9">
        <v>22.2</v>
      </c>
      <c r="L33" s="9">
        <v>60</v>
      </c>
      <c r="M33" s="10">
        <v>0.7</v>
      </c>
      <c r="N33" s="10">
        <v>0.3</v>
      </c>
      <c r="O33" s="9">
        <v>75</v>
      </c>
      <c r="P33" s="9">
        <v>1</v>
      </c>
      <c r="Q33" s="9">
        <v>49.4</v>
      </c>
      <c r="R33" s="3">
        <v>0</v>
      </c>
      <c r="S33" s="3" t="s">
        <v>335</v>
      </c>
      <c r="T33" s="3" t="s">
        <v>331</v>
      </c>
      <c r="U33" s="3">
        <v>0</v>
      </c>
      <c r="V33" s="3" t="s">
        <v>335</v>
      </c>
      <c r="W33" s="3" t="s">
        <v>331</v>
      </c>
      <c r="X33" s="3">
        <v>1</v>
      </c>
      <c r="Y33" s="3" t="s">
        <v>126</v>
      </c>
      <c r="Z33" s="3" t="s">
        <v>372</v>
      </c>
      <c r="AA33" s="3" t="s">
        <v>373</v>
      </c>
      <c r="AB33" s="3" t="s">
        <v>334</v>
      </c>
    </row>
    <row r="34" ht="48.75" customHeight="1" spans="1:28">
      <c r="A34" s="3">
        <v>31</v>
      </c>
      <c r="B34" s="3" t="s">
        <v>238</v>
      </c>
      <c r="C34" s="3" t="s">
        <v>181</v>
      </c>
      <c r="D34" s="3" t="s">
        <v>182</v>
      </c>
      <c r="E34" s="12" t="s">
        <v>239</v>
      </c>
      <c r="F34" s="3" t="s">
        <v>153</v>
      </c>
      <c r="G34" s="3" t="s">
        <v>154</v>
      </c>
      <c r="H34" s="6" t="s">
        <v>243</v>
      </c>
      <c r="I34" s="9">
        <v>57</v>
      </c>
      <c r="J34" s="9">
        <v>13.4</v>
      </c>
      <c r="K34" s="9">
        <v>70</v>
      </c>
      <c r="L34" s="9">
        <v>60</v>
      </c>
      <c r="M34" s="10">
        <v>0.7</v>
      </c>
      <c r="N34" s="10">
        <v>0.3</v>
      </c>
      <c r="O34" s="9">
        <v>75</v>
      </c>
      <c r="P34" s="9">
        <v>0</v>
      </c>
      <c r="Q34" s="9">
        <v>60.9</v>
      </c>
      <c r="R34" s="3">
        <v>0</v>
      </c>
      <c r="S34" s="3" t="s">
        <v>335</v>
      </c>
      <c r="T34" s="3" t="s">
        <v>331</v>
      </c>
      <c r="U34" s="3">
        <v>1</v>
      </c>
      <c r="V34" s="3" t="s">
        <v>323</v>
      </c>
      <c r="W34" s="3" t="s">
        <v>331</v>
      </c>
      <c r="X34" s="3">
        <v>0</v>
      </c>
      <c r="Y34" s="3" t="s">
        <v>118</v>
      </c>
      <c r="Z34" s="3" t="s">
        <v>356</v>
      </c>
      <c r="AA34" s="3" t="s">
        <v>374</v>
      </c>
      <c r="AB34" s="3" t="s">
        <v>334</v>
      </c>
    </row>
    <row r="35" ht="48.75" customHeight="1" spans="1:28">
      <c r="A35" s="3">
        <v>32</v>
      </c>
      <c r="B35" s="3" t="s">
        <v>244</v>
      </c>
      <c r="C35" s="3" t="s">
        <v>181</v>
      </c>
      <c r="D35" s="3" t="s">
        <v>182</v>
      </c>
      <c r="E35" s="13" t="s">
        <v>239</v>
      </c>
      <c r="F35" s="3" t="s">
        <v>153</v>
      </c>
      <c r="G35" s="3" t="s">
        <v>154</v>
      </c>
      <c r="H35" s="5" t="s">
        <v>248</v>
      </c>
      <c r="I35" s="9">
        <v>54</v>
      </c>
      <c r="J35" s="9">
        <v>17</v>
      </c>
      <c r="K35" s="9">
        <v>50</v>
      </c>
      <c r="L35" s="9">
        <v>60</v>
      </c>
      <c r="M35" s="10">
        <v>0.7</v>
      </c>
      <c r="N35" s="10">
        <v>0.3</v>
      </c>
      <c r="O35" s="9">
        <v>75</v>
      </c>
      <c r="P35" s="9">
        <v>0</v>
      </c>
      <c r="Q35" s="9">
        <v>52.8</v>
      </c>
      <c r="R35" s="3">
        <v>0</v>
      </c>
      <c r="S35" s="3" t="s">
        <v>335</v>
      </c>
      <c r="T35" s="3" t="s">
        <v>324</v>
      </c>
      <c r="U35" s="3">
        <v>0</v>
      </c>
      <c r="V35" s="3" t="s">
        <v>335</v>
      </c>
      <c r="W35" s="3" t="s">
        <v>325</v>
      </c>
      <c r="X35" s="3">
        <v>1</v>
      </c>
      <c r="Y35" s="3" t="s">
        <v>126</v>
      </c>
      <c r="Z35" s="3" t="s">
        <v>358</v>
      </c>
      <c r="AA35" s="3" t="s">
        <v>375</v>
      </c>
      <c r="AB35" s="3" t="s">
        <v>328</v>
      </c>
    </row>
    <row r="36" ht="48.75" customHeight="1" spans="1:28">
      <c r="A36" s="3">
        <v>33</v>
      </c>
      <c r="B36" s="3" t="s">
        <v>249</v>
      </c>
      <c r="C36" s="3" t="s">
        <v>250</v>
      </c>
      <c r="D36" s="3" t="s">
        <v>251</v>
      </c>
      <c r="E36" s="3" t="s">
        <v>113</v>
      </c>
      <c r="F36" s="3" t="s">
        <v>114</v>
      </c>
      <c r="G36" s="3" t="s">
        <v>115</v>
      </c>
      <c r="H36" s="3" t="s">
        <v>254</v>
      </c>
      <c r="I36" s="9">
        <v>92</v>
      </c>
      <c r="J36" s="9">
        <v>6.3</v>
      </c>
      <c r="K36" s="9">
        <v>90</v>
      </c>
      <c r="L36" s="9">
        <v>60</v>
      </c>
      <c r="M36" s="10">
        <v>0.7</v>
      </c>
      <c r="N36" s="10">
        <v>0.3</v>
      </c>
      <c r="O36" s="9">
        <v>75</v>
      </c>
      <c r="P36" s="9">
        <v>1</v>
      </c>
      <c r="Q36" s="9">
        <v>91.4</v>
      </c>
      <c r="R36" s="3">
        <v>1</v>
      </c>
      <c r="S36" s="3" t="s">
        <v>323</v>
      </c>
      <c r="T36" s="3" t="s">
        <v>324</v>
      </c>
      <c r="U36" s="3">
        <v>1</v>
      </c>
      <c r="V36" s="3" t="s">
        <v>323</v>
      </c>
      <c r="W36" s="3" t="s">
        <v>325</v>
      </c>
      <c r="X36" s="3">
        <v>1</v>
      </c>
      <c r="Y36" s="3" t="s">
        <v>126</v>
      </c>
      <c r="Z36" s="3" t="s">
        <v>326</v>
      </c>
      <c r="AA36" s="3" t="s">
        <v>376</v>
      </c>
      <c r="AB36" s="3" t="s">
        <v>328</v>
      </c>
    </row>
    <row r="37" ht="48.75" customHeight="1" spans="1:28">
      <c r="A37" s="3">
        <v>34</v>
      </c>
      <c r="B37" s="3" t="s">
        <v>255</v>
      </c>
      <c r="C37" s="3" t="s">
        <v>250</v>
      </c>
      <c r="D37" s="3" t="s">
        <v>251</v>
      </c>
      <c r="E37" s="3" t="s">
        <v>113</v>
      </c>
      <c r="F37" s="3" t="s">
        <v>114</v>
      </c>
      <c r="G37" s="3" t="s">
        <v>115</v>
      </c>
      <c r="H37" s="3" t="s">
        <v>257</v>
      </c>
      <c r="I37" s="9">
        <v>85</v>
      </c>
      <c r="J37" s="9">
        <v>7.6</v>
      </c>
      <c r="K37" s="9">
        <v>80</v>
      </c>
      <c r="L37" s="9">
        <v>60</v>
      </c>
      <c r="M37" s="10">
        <v>0.7</v>
      </c>
      <c r="N37" s="10">
        <v>0.3</v>
      </c>
      <c r="O37" s="9">
        <v>75</v>
      </c>
      <c r="P37" s="9">
        <v>1</v>
      </c>
      <c r="Q37" s="9">
        <v>83.5</v>
      </c>
      <c r="R37" s="3">
        <v>1</v>
      </c>
      <c r="S37" s="3" t="s">
        <v>323</v>
      </c>
      <c r="T37" s="3" t="s">
        <v>324</v>
      </c>
      <c r="U37" s="3">
        <v>1</v>
      </c>
      <c r="V37" s="3" t="s">
        <v>323</v>
      </c>
      <c r="W37" s="3" t="s">
        <v>325</v>
      </c>
      <c r="X37" s="3">
        <v>1</v>
      </c>
      <c r="Y37" s="3" t="s">
        <v>126</v>
      </c>
      <c r="Z37" s="3" t="s">
        <v>329</v>
      </c>
      <c r="AA37" s="3" t="s">
        <v>377</v>
      </c>
      <c r="AB37" s="3" t="s">
        <v>328</v>
      </c>
    </row>
    <row r="38" ht="48.75" customHeight="1" spans="1:28">
      <c r="A38" s="3">
        <v>35</v>
      </c>
      <c r="B38" s="3" t="s">
        <v>258</v>
      </c>
      <c r="C38" s="3" t="s">
        <v>250</v>
      </c>
      <c r="D38" s="3" t="s">
        <v>251</v>
      </c>
      <c r="E38" s="3" t="s">
        <v>113</v>
      </c>
      <c r="F38" s="3" t="s">
        <v>114</v>
      </c>
      <c r="G38" s="3" t="s">
        <v>115</v>
      </c>
      <c r="H38" s="3" t="s">
        <v>259</v>
      </c>
      <c r="I38" s="9">
        <v>78</v>
      </c>
      <c r="J38" s="9">
        <v>8.2</v>
      </c>
      <c r="K38" s="9">
        <v>75.4</v>
      </c>
      <c r="L38" s="9">
        <v>60</v>
      </c>
      <c r="M38" s="10">
        <v>0.7</v>
      </c>
      <c r="N38" s="10">
        <v>0.3</v>
      </c>
      <c r="O38" s="9">
        <v>75</v>
      </c>
      <c r="P38" s="9">
        <v>1</v>
      </c>
      <c r="Q38" s="9">
        <v>77.2</v>
      </c>
      <c r="R38" s="3">
        <v>1</v>
      </c>
      <c r="S38" s="3" t="s">
        <v>323</v>
      </c>
      <c r="T38" s="3" t="s">
        <v>331</v>
      </c>
      <c r="U38" s="3">
        <v>0</v>
      </c>
      <c r="V38" s="3" t="s">
        <v>335</v>
      </c>
      <c r="W38" s="3" t="s">
        <v>378</v>
      </c>
      <c r="X38" s="3">
        <v>0</v>
      </c>
      <c r="Y38" s="3" t="s">
        <v>118</v>
      </c>
      <c r="Z38" s="3" t="s">
        <v>379</v>
      </c>
      <c r="AA38" s="3" t="s">
        <v>380</v>
      </c>
      <c r="AB38" s="3" t="s">
        <v>381</v>
      </c>
    </row>
    <row r="39" ht="48.75" customHeight="1" spans="1:28">
      <c r="A39" s="3">
        <v>36</v>
      </c>
      <c r="B39" s="3" t="s">
        <v>260</v>
      </c>
      <c r="C39" s="3" t="s">
        <v>250</v>
      </c>
      <c r="D39" s="3" t="s">
        <v>251</v>
      </c>
      <c r="E39" s="3" t="s">
        <v>113</v>
      </c>
      <c r="F39" s="3" t="s">
        <v>114</v>
      </c>
      <c r="G39" s="3" t="s">
        <v>115</v>
      </c>
      <c r="H39" s="3" t="s">
        <v>261</v>
      </c>
      <c r="I39" s="9">
        <v>72</v>
      </c>
      <c r="J39" s="9">
        <v>9.6</v>
      </c>
      <c r="K39" s="9">
        <v>64.6</v>
      </c>
      <c r="L39" s="9">
        <v>60</v>
      </c>
      <c r="M39" s="10">
        <v>0.7</v>
      </c>
      <c r="N39" s="10">
        <v>0.3</v>
      </c>
      <c r="O39" s="9">
        <v>75</v>
      </c>
      <c r="P39" s="9">
        <v>1</v>
      </c>
      <c r="Q39" s="9">
        <v>69.8</v>
      </c>
      <c r="R39" s="3">
        <v>0</v>
      </c>
      <c r="S39" s="3" t="s">
        <v>335</v>
      </c>
      <c r="T39" s="3" t="s">
        <v>324</v>
      </c>
      <c r="U39" s="3">
        <v>0</v>
      </c>
      <c r="V39" s="3" t="s">
        <v>335</v>
      </c>
      <c r="W39" s="3" t="s">
        <v>325</v>
      </c>
      <c r="X39" s="3">
        <v>1</v>
      </c>
      <c r="Y39" s="3" t="s">
        <v>126</v>
      </c>
      <c r="Z39" s="3" t="s">
        <v>382</v>
      </c>
      <c r="AA39" s="3" t="s">
        <v>383</v>
      </c>
      <c r="AB39" s="3" t="s">
        <v>328</v>
      </c>
    </row>
    <row r="40" ht="48.75" customHeight="1" spans="1:28">
      <c r="A40" s="3">
        <v>37</v>
      </c>
      <c r="B40" s="3" t="s">
        <v>262</v>
      </c>
      <c r="C40" s="3" t="s">
        <v>250</v>
      </c>
      <c r="D40" s="3" t="s">
        <v>251</v>
      </c>
      <c r="E40" s="3" t="s">
        <v>263</v>
      </c>
      <c r="F40" s="3" t="s">
        <v>114</v>
      </c>
      <c r="G40" s="3" t="s">
        <v>115</v>
      </c>
      <c r="H40" s="3" t="s">
        <v>268</v>
      </c>
      <c r="I40" s="9">
        <v>66</v>
      </c>
      <c r="J40" s="9">
        <v>12.2</v>
      </c>
      <c r="K40" s="9">
        <v>44.6</v>
      </c>
      <c r="L40" s="9">
        <v>60</v>
      </c>
      <c r="M40" s="10">
        <v>0.7</v>
      </c>
      <c r="N40" s="10">
        <v>0.3</v>
      </c>
      <c r="O40" s="9">
        <v>75</v>
      </c>
      <c r="P40" s="9">
        <v>1</v>
      </c>
      <c r="Q40" s="9">
        <v>59.6</v>
      </c>
      <c r="R40" s="3">
        <v>0</v>
      </c>
      <c r="S40" s="3" t="s">
        <v>335</v>
      </c>
      <c r="T40" s="3" t="s">
        <v>324</v>
      </c>
      <c r="U40" s="3">
        <v>0</v>
      </c>
      <c r="V40" s="3" t="s">
        <v>335</v>
      </c>
      <c r="W40" s="3" t="s">
        <v>325</v>
      </c>
      <c r="X40" s="3">
        <v>1</v>
      </c>
      <c r="Y40" s="3" t="s">
        <v>126</v>
      </c>
      <c r="Z40" s="3" t="s">
        <v>384</v>
      </c>
      <c r="AA40" s="3" t="s">
        <v>385</v>
      </c>
      <c r="AB40" s="3" t="s">
        <v>328</v>
      </c>
    </row>
    <row r="41" ht="48.75" customHeight="1" spans="1:28">
      <c r="A41" s="3">
        <v>38</v>
      </c>
      <c r="B41" s="3" t="s">
        <v>269</v>
      </c>
      <c r="C41" s="3" t="s">
        <v>250</v>
      </c>
      <c r="D41" s="3" t="s">
        <v>251</v>
      </c>
      <c r="E41" s="3" t="s">
        <v>270</v>
      </c>
      <c r="F41" s="3" t="s">
        <v>114</v>
      </c>
      <c r="G41" s="3" t="s">
        <v>115</v>
      </c>
      <c r="H41" s="3" t="s">
        <v>275</v>
      </c>
      <c r="I41" s="9">
        <v>59</v>
      </c>
      <c r="J41" s="9">
        <v>8.2</v>
      </c>
      <c r="K41" s="9">
        <v>75.4</v>
      </c>
      <c r="L41" s="9">
        <v>60</v>
      </c>
      <c r="M41" s="10">
        <v>0.7</v>
      </c>
      <c r="N41" s="10">
        <v>0.3</v>
      </c>
      <c r="O41" s="9">
        <v>75</v>
      </c>
      <c r="P41" s="9">
        <v>0</v>
      </c>
      <c r="Q41" s="9">
        <v>63.9</v>
      </c>
      <c r="R41" s="3">
        <v>0</v>
      </c>
      <c r="S41" s="3" t="s">
        <v>335</v>
      </c>
      <c r="T41" s="3" t="s">
        <v>331</v>
      </c>
      <c r="U41" s="3">
        <v>1</v>
      </c>
      <c r="V41" s="3" t="s">
        <v>323</v>
      </c>
      <c r="W41" s="3" t="s">
        <v>378</v>
      </c>
      <c r="X41" s="3">
        <v>0</v>
      </c>
      <c r="Y41" s="3" t="s">
        <v>118</v>
      </c>
      <c r="Z41" s="3" t="s">
        <v>386</v>
      </c>
      <c r="AA41" s="3" t="s">
        <v>387</v>
      </c>
      <c r="AB41" s="3" t="s">
        <v>381</v>
      </c>
    </row>
    <row r="42" ht="48.75" customHeight="1" spans="1:28">
      <c r="A42" s="3">
        <v>39</v>
      </c>
      <c r="B42" s="3" t="s">
        <v>276</v>
      </c>
      <c r="C42" s="3" t="s">
        <v>250</v>
      </c>
      <c r="D42" s="3" t="s">
        <v>251</v>
      </c>
      <c r="E42" s="3" t="s">
        <v>270</v>
      </c>
      <c r="F42" s="3" t="s">
        <v>114</v>
      </c>
      <c r="G42" s="3" t="s">
        <v>115</v>
      </c>
      <c r="H42" s="3" t="s">
        <v>280</v>
      </c>
      <c r="I42" s="9">
        <v>52</v>
      </c>
      <c r="J42" s="9">
        <v>10.9</v>
      </c>
      <c r="K42" s="9">
        <v>54.6</v>
      </c>
      <c r="L42" s="9">
        <v>60</v>
      </c>
      <c r="M42" s="10">
        <v>0.7</v>
      </c>
      <c r="N42" s="10">
        <v>0.3</v>
      </c>
      <c r="O42" s="9">
        <v>75</v>
      </c>
      <c r="P42" s="9">
        <v>0</v>
      </c>
      <c r="Q42" s="9">
        <v>52.8</v>
      </c>
      <c r="R42" s="3">
        <v>0</v>
      </c>
      <c r="S42" s="3" t="s">
        <v>335</v>
      </c>
      <c r="T42" s="3" t="s">
        <v>324</v>
      </c>
      <c r="U42" s="3">
        <v>0</v>
      </c>
      <c r="V42" s="3" t="s">
        <v>335</v>
      </c>
      <c r="W42" s="3" t="s">
        <v>325</v>
      </c>
      <c r="X42" s="3">
        <v>1</v>
      </c>
      <c r="Y42" s="3" t="s">
        <v>126</v>
      </c>
      <c r="Z42" s="3" t="s">
        <v>388</v>
      </c>
      <c r="AA42" s="3" t="s">
        <v>389</v>
      </c>
      <c r="AB42" s="3" t="s">
        <v>328</v>
      </c>
    </row>
    <row r="43" ht="48.75" customHeight="1" spans="1:28">
      <c r="A43" s="3">
        <v>40</v>
      </c>
      <c r="B43" s="3" t="s">
        <v>281</v>
      </c>
      <c r="C43" s="3" t="s">
        <v>250</v>
      </c>
      <c r="D43" s="3" t="s">
        <v>251</v>
      </c>
      <c r="E43" s="3" t="s">
        <v>270</v>
      </c>
      <c r="F43" s="3" t="s">
        <v>114</v>
      </c>
      <c r="G43" s="3" t="s">
        <v>115</v>
      </c>
      <c r="H43" s="3" t="s">
        <v>286</v>
      </c>
      <c r="I43" s="9">
        <v>44</v>
      </c>
      <c r="J43" s="9">
        <v>14.1</v>
      </c>
      <c r="K43" s="9">
        <v>30</v>
      </c>
      <c r="L43" s="9">
        <v>60</v>
      </c>
      <c r="M43" s="10">
        <v>0.7</v>
      </c>
      <c r="N43" s="10">
        <v>0.3</v>
      </c>
      <c r="O43" s="9">
        <v>75</v>
      </c>
      <c r="P43" s="9">
        <v>0</v>
      </c>
      <c r="Q43" s="9">
        <v>39.8</v>
      </c>
      <c r="R43" s="3">
        <v>0</v>
      </c>
      <c r="S43" s="3" t="s">
        <v>335</v>
      </c>
      <c r="T43" s="3" t="s">
        <v>324</v>
      </c>
      <c r="U43" s="3">
        <v>0</v>
      </c>
      <c r="V43" s="3" t="s">
        <v>335</v>
      </c>
      <c r="W43" s="3" t="s">
        <v>325</v>
      </c>
      <c r="X43" s="3">
        <v>1</v>
      </c>
      <c r="Y43" s="3" t="s">
        <v>126</v>
      </c>
      <c r="Z43" s="3" t="s">
        <v>343</v>
      </c>
      <c r="AA43" s="3" t="s">
        <v>390</v>
      </c>
      <c r="AB43" s="3" t="s">
        <v>328</v>
      </c>
    </row>
    <row r="44" ht="48.75" customHeight="1" spans="1:28">
      <c r="A44" s="3">
        <v>41</v>
      </c>
      <c r="B44" s="3" t="s">
        <v>287</v>
      </c>
      <c r="C44" s="3" t="s">
        <v>250</v>
      </c>
      <c r="D44" s="3" t="s">
        <v>251</v>
      </c>
      <c r="E44" s="3" t="s">
        <v>263</v>
      </c>
      <c r="F44" s="3" t="s">
        <v>153</v>
      </c>
      <c r="G44" s="3" t="s">
        <v>154</v>
      </c>
      <c r="H44" s="3" t="s">
        <v>292</v>
      </c>
      <c r="I44" s="9">
        <v>83</v>
      </c>
      <c r="J44" s="9">
        <v>7.6</v>
      </c>
      <c r="K44" s="9">
        <v>80</v>
      </c>
      <c r="L44" s="9">
        <v>60</v>
      </c>
      <c r="M44" s="10">
        <v>0.7</v>
      </c>
      <c r="N44" s="10">
        <v>0.3</v>
      </c>
      <c r="O44" s="9">
        <v>75</v>
      </c>
      <c r="P44" s="9">
        <v>1</v>
      </c>
      <c r="Q44" s="9">
        <v>82.1</v>
      </c>
      <c r="R44" s="3">
        <v>1</v>
      </c>
      <c r="S44" s="3" t="s">
        <v>323</v>
      </c>
      <c r="T44" s="3" t="s">
        <v>324</v>
      </c>
      <c r="U44" s="3">
        <v>0</v>
      </c>
      <c r="V44" s="3" t="s">
        <v>335</v>
      </c>
      <c r="W44" s="3" t="s">
        <v>378</v>
      </c>
      <c r="X44" s="3">
        <v>0</v>
      </c>
      <c r="Y44" s="3" t="s">
        <v>118</v>
      </c>
      <c r="Z44" s="3" t="s">
        <v>391</v>
      </c>
      <c r="AA44" s="3" t="s">
        <v>392</v>
      </c>
      <c r="AB44" s="3" t="s">
        <v>328</v>
      </c>
    </row>
    <row r="45" ht="48.75" customHeight="1" spans="1:28">
      <c r="A45" s="3">
        <v>42</v>
      </c>
      <c r="B45" s="3" t="s">
        <v>293</v>
      </c>
      <c r="C45" s="3" t="s">
        <v>250</v>
      </c>
      <c r="D45" s="3" t="s">
        <v>251</v>
      </c>
      <c r="E45" s="3" t="s">
        <v>239</v>
      </c>
      <c r="F45" s="3" t="s">
        <v>153</v>
      </c>
      <c r="G45" s="3" t="s">
        <v>154</v>
      </c>
      <c r="H45" s="3" t="s">
        <v>298</v>
      </c>
      <c r="I45" s="9">
        <v>76</v>
      </c>
      <c r="J45" s="9">
        <v>9.6</v>
      </c>
      <c r="K45" s="9">
        <v>64.6</v>
      </c>
      <c r="L45" s="9">
        <v>60</v>
      </c>
      <c r="M45" s="10">
        <v>0.7</v>
      </c>
      <c r="N45" s="10">
        <v>0.3</v>
      </c>
      <c r="O45" s="9">
        <v>75</v>
      </c>
      <c r="P45" s="9">
        <v>1</v>
      </c>
      <c r="Q45" s="9">
        <v>72.6</v>
      </c>
      <c r="R45" s="3">
        <v>0</v>
      </c>
      <c r="S45" s="3" t="s">
        <v>335</v>
      </c>
      <c r="T45" s="3" t="s">
        <v>331</v>
      </c>
      <c r="U45" s="3">
        <v>1</v>
      </c>
      <c r="V45" s="3" t="s">
        <v>323</v>
      </c>
      <c r="W45" s="3" t="s">
        <v>378</v>
      </c>
      <c r="X45" s="3">
        <v>0</v>
      </c>
      <c r="Y45" s="3" t="s">
        <v>118</v>
      </c>
      <c r="Z45" s="3" t="s">
        <v>393</v>
      </c>
      <c r="AA45" s="3" t="s">
        <v>394</v>
      </c>
      <c r="AB45" s="3" t="s">
        <v>381</v>
      </c>
    </row>
    <row r="46" ht="48.75" customHeight="1" spans="1:28">
      <c r="A46" s="3">
        <v>43</v>
      </c>
      <c r="B46" s="3" t="s">
        <v>299</v>
      </c>
      <c r="C46" s="3" t="s">
        <v>250</v>
      </c>
      <c r="D46" s="3" t="s">
        <v>251</v>
      </c>
      <c r="E46" s="3" t="s">
        <v>263</v>
      </c>
      <c r="F46" s="3" t="s">
        <v>153</v>
      </c>
      <c r="G46" s="3" t="s">
        <v>154</v>
      </c>
      <c r="H46" s="3" t="s">
        <v>303</v>
      </c>
      <c r="I46" s="9">
        <v>71</v>
      </c>
      <c r="J46" s="9">
        <v>10.9</v>
      </c>
      <c r="K46" s="9">
        <v>54.6</v>
      </c>
      <c r="L46" s="9">
        <v>60</v>
      </c>
      <c r="M46" s="10">
        <v>0.7</v>
      </c>
      <c r="N46" s="10">
        <v>0.3</v>
      </c>
      <c r="O46" s="9">
        <v>75</v>
      </c>
      <c r="P46" s="9">
        <v>1</v>
      </c>
      <c r="Q46" s="9">
        <v>66.1</v>
      </c>
      <c r="R46" s="3">
        <v>0</v>
      </c>
      <c r="S46" s="3" t="s">
        <v>335</v>
      </c>
      <c r="T46" s="3" t="s">
        <v>324</v>
      </c>
      <c r="U46" s="3">
        <v>1</v>
      </c>
      <c r="V46" s="3" t="s">
        <v>323</v>
      </c>
      <c r="W46" s="3" t="s">
        <v>378</v>
      </c>
      <c r="X46" s="3">
        <v>0</v>
      </c>
      <c r="Y46" s="3" t="s">
        <v>118</v>
      </c>
      <c r="Z46" s="3" t="s">
        <v>395</v>
      </c>
      <c r="AA46" s="3" t="s">
        <v>396</v>
      </c>
      <c r="AB46" s="3" t="s">
        <v>328</v>
      </c>
    </row>
    <row r="47" ht="48.75" customHeight="1" spans="1:28">
      <c r="A47" s="3">
        <v>44</v>
      </c>
      <c r="B47" s="3" t="s">
        <v>304</v>
      </c>
      <c r="C47" s="3" t="s">
        <v>250</v>
      </c>
      <c r="D47" s="3" t="s">
        <v>251</v>
      </c>
      <c r="E47" s="3" t="s">
        <v>305</v>
      </c>
      <c r="F47" s="3" t="s">
        <v>153</v>
      </c>
      <c r="G47" s="3" t="s">
        <v>154</v>
      </c>
      <c r="H47" s="3" t="s">
        <v>309</v>
      </c>
      <c r="I47" s="9">
        <v>68</v>
      </c>
      <c r="J47" s="9">
        <v>12.5</v>
      </c>
      <c r="K47" s="9">
        <v>42.3</v>
      </c>
      <c r="L47" s="9">
        <v>60</v>
      </c>
      <c r="M47" s="10">
        <v>0.7</v>
      </c>
      <c r="N47" s="10">
        <v>0.3</v>
      </c>
      <c r="O47" s="9">
        <v>75</v>
      </c>
      <c r="P47" s="9">
        <v>1</v>
      </c>
      <c r="Q47" s="9">
        <v>60.3</v>
      </c>
      <c r="R47" s="3">
        <v>0</v>
      </c>
      <c r="S47" s="3" t="s">
        <v>335</v>
      </c>
      <c r="T47" s="3" t="s">
        <v>324</v>
      </c>
      <c r="U47" s="3">
        <v>1</v>
      </c>
      <c r="V47" s="3" t="s">
        <v>323</v>
      </c>
      <c r="W47" s="3" t="s">
        <v>378</v>
      </c>
      <c r="X47" s="3">
        <v>0</v>
      </c>
      <c r="Y47" s="3" t="s">
        <v>118</v>
      </c>
      <c r="Z47" s="3" t="s">
        <v>397</v>
      </c>
      <c r="AA47" s="3" t="s">
        <v>398</v>
      </c>
      <c r="AB47" s="3" t="s">
        <v>328</v>
      </c>
    </row>
    <row r="48" ht="48.75" customHeight="1" spans="1:28">
      <c r="A48" s="3">
        <v>45</v>
      </c>
      <c r="B48" s="3" t="s">
        <v>310</v>
      </c>
      <c r="C48" s="3" t="s">
        <v>250</v>
      </c>
      <c r="D48" s="3" t="s">
        <v>251</v>
      </c>
      <c r="E48" s="3" t="s">
        <v>263</v>
      </c>
      <c r="F48" s="3" t="s">
        <v>153</v>
      </c>
      <c r="G48" s="3" t="s">
        <v>154</v>
      </c>
      <c r="H48" s="3" t="s">
        <v>292</v>
      </c>
      <c r="I48" s="9">
        <v>63</v>
      </c>
      <c r="J48" s="9">
        <v>14.1</v>
      </c>
      <c r="K48" s="9">
        <v>30</v>
      </c>
      <c r="L48" s="9">
        <v>60</v>
      </c>
      <c r="M48" s="10">
        <v>0.7</v>
      </c>
      <c r="N48" s="10">
        <v>0.3</v>
      </c>
      <c r="O48" s="9">
        <v>75</v>
      </c>
      <c r="P48" s="9">
        <v>1</v>
      </c>
      <c r="Q48" s="9">
        <v>53.1</v>
      </c>
      <c r="R48" s="3">
        <v>0</v>
      </c>
      <c r="S48" s="3" t="s">
        <v>335</v>
      </c>
      <c r="T48" s="3" t="s">
        <v>331</v>
      </c>
      <c r="U48" s="3">
        <v>1</v>
      </c>
      <c r="V48" s="3" t="s">
        <v>323</v>
      </c>
      <c r="W48" s="3" t="s">
        <v>378</v>
      </c>
      <c r="X48" s="3">
        <v>0</v>
      </c>
      <c r="Y48" s="3" t="s">
        <v>118</v>
      </c>
      <c r="Z48" s="3" t="s">
        <v>352</v>
      </c>
      <c r="AA48" s="3" t="s">
        <v>399</v>
      </c>
      <c r="AB48" s="3" t="s">
        <v>381</v>
      </c>
    </row>
    <row r="49" ht="48.75" customHeight="1" spans="1:28">
      <c r="A49" s="3">
        <v>46</v>
      </c>
      <c r="B49" s="3" t="s">
        <v>311</v>
      </c>
      <c r="C49" s="3" t="s">
        <v>250</v>
      </c>
      <c r="D49" s="3" t="s">
        <v>251</v>
      </c>
      <c r="E49" s="3" t="s">
        <v>239</v>
      </c>
      <c r="F49" s="3" t="s">
        <v>153</v>
      </c>
      <c r="G49" s="3" t="s">
        <v>154</v>
      </c>
      <c r="H49" s="3" t="s">
        <v>298</v>
      </c>
      <c r="I49" s="9">
        <v>61</v>
      </c>
      <c r="J49" s="9">
        <v>15.1</v>
      </c>
      <c r="K49" s="9">
        <v>22.3</v>
      </c>
      <c r="L49" s="9">
        <v>60</v>
      </c>
      <c r="M49" s="10">
        <v>0.7</v>
      </c>
      <c r="N49" s="10">
        <v>0.3</v>
      </c>
      <c r="O49" s="9">
        <v>75</v>
      </c>
      <c r="P49" s="9">
        <v>1</v>
      </c>
      <c r="Q49" s="9">
        <v>49.4</v>
      </c>
      <c r="R49" s="3">
        <v>0</v>
      </c>
      <c r="S49" s="3" t="s">
        <v>335</v>
      </c>
      <c r="T49" s="3" t="s">
        <v>331</v>
      </c>
      <c r="U49" s="3">
        <v>1</v>
      </c>
      <c r="V49" s="3" t="s">
        <v>323</v>
      </c>
      <c r="W49" s="3" t="s">
        <v>378</v>
      </c>
      <c r="X49" s="3">
        <v>0</v>
      </c>
      <c r="Y49" s="3" t="s">
        <v>118</v>
      </c>
      <c r="Z49" s="3" t="s">
        <v>400</v>
      </c>
      <c r="AA49" s="3" t="s">
        <v>401</v>
      </c>
      <c r="AB49" s="3" t="s">
        <v>381</v>
      </c>
    </row>
    <row r="50" ht="48.75" customHeight="1" spans="1:28">
      <c r="A50" s="3">
        <v>47</v>
      </c>
      <c r="B50" s="3" t="s">
        <v>312</v>
      </c>
      <c r="C50" s="3" t="s">
        <v>250</v>
      </c>
      <c r="D50" s="3" t="s">
        <v>251</v>
      </c>
      <c r="E50" s="3" t="s">
        <v>263</v>
      </c>
      <c r="F50" s="3" t="s">
        <v>153</v>
      </c>
      <c r="G50" s="3" t="s">
        <v>154</v>
      </c>
      <c r="H50" s="3" t="s">
        <v>303</v>
      </c>
      <c r="I50" s="9">
        <v>57</v>
      </c>
      <c r="J50" s="9">
        <v>8.9</v>
      </c>
      <c r="K50" s="9">
        <v>70</v>
      </c>
      <c r="L50" s="9">
        <v>60</v>
      </c>
      <c r="M50" s="10">
        <v>0.7</v>
      </c>
      <c r="N50" s="10">
        <v>0.3</v>
      </c>
      <c r="O50" s="9">
        <v>75</v>
      </c>
      <c r="P50" s="9">
        <v>0</v>
      </c>
      <c r="Q50" s="9">
        <v>60.9</v>
      </c>
      <c r="R50" s="3">
        <v>0</v>
      </c>
      <c r="S50" s="3" t="s">
        <v>335</v>
      </c>
      <c r="T50" s="3" t="s">
        <v>331</v>
      </c>
      <c r="U50" s="3">
        <v>1</v>
      </c>
      <c r="V50" s="3" t="s">
        <v>323</v>
      </c>
      <c r="W50" s="3" t="s">
        <v>378</v>
      </c>
      <c r="X50" s="3">
        <v>0</v>
      </c>
      <c r="Y50" s="3" t="s">
        <v>118</v>
      </c>
      <c r="Z50" s="3" t="s">
        <v>356</v>
      </c>
      <c r="AA50" s="3" t="s">
        <v>402</v>
      </c>
      <c r="AB50" s="3" t="s">
        <v>381</v>
      </c>
    </row>
    <row r="51" ht="48.75" customHeight="1" spans="1:28">
      <c r="A51" s="3">
        <v>48</v>
      </c>
      <c r="B51" s="3" t="s">
        <v>313</v>
      </c>
      <c r="C51" s="3" t="s">
        <v>250</v>
      </c>
      <c r="D51" s="3" t="s">
        <v>251</v>
      </c>
      <c r="E51" s="3" t="s">
        <v>305</v>
      </c>
      <c r="F51" s="3" t="s">
        <v>153</v>
      </c>
      <c r="G51" s="3" t="s">
        <v>154</v>
      </c>
      <c r="H51" s="3" t="s">
        <v>309</v>
      </c>
      <c r="I51" s="9">
        <v>54</v>
      </c>
      <c r="J51" s="9">
        <v>11.5</v>
      </c>
      <c r="K51" s="9">
        <v>50</v>
      </c>
      <c r="L51" s="9">
        <v>60</v>
      </c>
      <c r="M51" s="10">
        <v>0.7</v>
      </c>
      <c r="N51" s="10">
        <v>0.3</v>
      </c>
      <c r="O51" s="9">
        <v>75</v>
      </c>
      <c r="P51" s="9">
        <v>0</v>
      </c>
      <c r="Q51" s="9">
        <v>52.8</v>
      </c>
      <c r="R51" s="3">
        <v>0</v>
      </c>
      <c r="S51" s="3" t="s">
        <v>335</v>
      </c>
      <c r="T51" s="3" t="s">
        <v>324</v>
      </c>
      <c r="U51" s="3">
        <v>1</v>
      </c>
      <c r="V51" s="3" t="s">
        <v>323</v>
      </c>
      <c r="W51" s="3" t="s">
        <v>378</v>
      </c>
      <c r="X51" s="3">
        <v>0</v>
      </c>
      <c r="Y51" s="3" t="s">
        <v>118</v>
      </c>
      <c r="Z51" s="3" t="s">
        <v>403</v>
      </c>
      <c r="AA51" s="3" t="s">
        <v>404</v>
      </c>
      <c r="AB51" s="3" t="s">
        <v>328</v>
      </c>
    </row>
  </sheetData>
  <autoFilter xmlns:etc="http://www.wps.cn/officeDocument/2017/etCustomData" ref="A3:AB51" etc:filterBottomFollowUsedRange="0">
    <extLst/>
  </autoFilter>
  <mergeCells count="1">
    <mergeCell ref="A1:AB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5" zoomScaleNormal="85" topLeftCell="A6" workbookViewId="0">
      <selection activeCell="H11" sqref="H11"/>
    </sheetView>
  </sheetViews>
  <sheetFormatPr defaultColWidth="9" defaultRowHeight="14"/>
  <cols>
    <col min="1" max="1" width="9" customWidth="1"/>
    <col min="2" max="3" width="10" customWidth="1"/>
    <col min="4" max="4" width="16" customWidth="1"/>
    <col min="5" max="5" width="12" customWidth="1"/>
    <col min="6" max="6" width="14" customWidth="1"/>
    <col min="7" max="7" width="10" customWidth="1"/>
    <col min="8" max="8" width="34" customWidth="1"/>
    <col min="9" max="13" width="12" customWidth="1"/>
    <col min="14" max="14" width="40" customWidth="1"/>
    <col min="15" max="15" width="22" customWidth="1"/>
  </cols>
  <sheetData>
    <row r="1" ht="16" customHeight="1" spans="1:15">
      <c r="A1" s="1" t="s">
        <v>405</v>
      </c>
    </row>
    <row r="2" ht="16" customHeight="1"/>
    <row r="3" ht="16" customHeight="1" spans="1:15">
      <c r="A3" s="2" t="s">
        <v>406</v>
      </c>
      <c r="B3" s="2" t="s">
        <v>407</v>
      </c>
      <c r="C3" s="2" t="s">
        <v>408</v>
      </c>
      <c r="D3" s="2" t="s">
        <v>39</v>
      </c>
      <c r="E3" s="2" t="s">
        <v>47</v>
      </c>
      <c r="F3" s="2" t="s">
        <v>100</v>
      </c>
      <c r="G3" s="2" t="s">
        <v>101</v>
      </c>
      <c r="H3" s="2" t="s">
        <v>44</v>
      </c>
      <c r="I3" s="2" t="s">
        <v>409</v>
      </c>
      <c r="J3" s="2" t="s">
        <v>410</v>
      </c>
      <c r="K3" s="2" t="s">
        <v>411</v>
      </c>
      <c r="L3" s="2" t="s">
        <v>103</v>
      </c>
      <c r="M3" s="2" t="s">
        <v>60</v>
      </c>
      <c r="N3" s="2" t="s">
        <v>412</v>
      </c>
      <c r="O3" s="2" t="s">
        <v>11</v>
      </c>
    </row>
    <row r="4" ht="24.4" customHeight="1" spans="1:15">
      <c r="A4" s="3">
        <v>1</v>
      </c>
      <c r="B4" s="3" t="s">
        <v>413</v>
      </c>
      <c r="C4" s="3">
        <v>1</v>
      </c>
      <c r="D4" s="3" t="s">
        <v>110</v>
      </c>
      <c r="E4" s="3" t="s">
        <v>112</v>
      </c>
      <c r="F4" s="3" t="s">
        <v>113</v>
      </c>
      <c r="G4" s="3" t="s">
        <v>114</v>
      </c>
      <c r="H4" s="4" t="s">
        <v>414</v>
      </c>
      <c r="I4" s="3" t="s">
        <v>415</v>
      </c>
      <c r="J4" s="3" t="s">
        <v>116</v>
      </c>
      <c r="K4" s="3">
        <v>1</v>
      </c>
      <c r="L4" s="3" t="s">
        <v>116</v>
      </c>
      <c r="M4" s="3">
        <v>1</v>
      </c>
      <c r="N4" s="3" t="s">
        <v>416</v>
      </c>
      <c r="O4" s="3" t="s">
        <v>417</v>
      </c>
    </row>
    <row r="5" ht="24.4" customHeight="1" spans="1:15">
      <c r="A5" s="3">
        <v>2</v>
      </c>
      <c r="B5" s="3" t="s">
        <v>413</v>
      </c>
      <c r="C5" s="3">
        <v>8</v>
      </c>
      <c r="D5" s="3" t="s">
        <v>149</v>
      </c>
      <c r="E5" s="3" t="s">
        <v>112</v>
      </c>
      <c r="F5" s="3" t="s">
        <v>139</v>
      </c>
      <c r="G5" s="3" t="s">
        <v>114</v>
      </c>
      <c r="H5" s="5" t="s">
        <v>418</v>
      </c>
      <c r="I5" s="3" t="s">
        <v>415</v>
      </c>
      <c r="J5" s="3" t="s">
        <v>117</v>
      </c>
      <c r="K5" s="3">
        <v>0</v>
      </c>
      <c r="L5" s="3" t="s">
        <v>116</v>
      </c>
      <c r="M5" s="3">
        <v>1</v>
      </c>
      <c r="N5" s="3" t="s">
        <v>419</v>
      </c>
      <c r="O5" s="3" t="s">
        <v>417</v>
      </c>
    </row>
    <row r="6" ht="24.4" customHeight="1" spans="1:15">
      <c r="A6" s="3">
        <v>3</v>
      </c>
      <c r="B6" s="3" t="s">
        <v>413</v>
      </c>
      <c r="C6" s="3">
        <v>17</v>
      </c>
      <c r="D6" s="3" t="s">
        <v>180</v>
      </c>
      <c r="E6" s="3" t="s">
        <v>182</v>
      </c>
      <c r="F6" s="3" t="s">
        <v>113</v>
      </c>
      <c r="G6" s="3" t="s">
        <v>114</v>
      </c>
      <c r="H6" s="6" t="s">
        <v>420</v>
      </c>
      <c r="I6" s="3" t="s">
        <v>415</v>
      </c>
      <c r="J6" s="3" t="s">
        <v>116</v>
      </c>
      <c r="K6" s="3">
        <v>1</v>
      </c>
      <c r="L6" s="3" t="s">
        <v>116</v>
      </c>
      <c r="M6" s="3">
        <v>1</v>
      </c>
      <c r="N6" s="3" t="s">
        <v>421</v>
      </c>
      <c r="O6" s="3" t="s">
        <v>417</v>
      </c>
    </row>
    <row r="7" ht="24.4" customHeight="1" spans="1:15">
      <c r="A7" s="3">
        <v>4</v>
      </c>
      <c r="B7" s="3" t="s">
        <v>413</v>
      </c>
      <c r="C7" s="3">
        <v>32</v>
      </c>
      <c r="D7" s="3" t="s">
        <v>244</v>
      </c>
      <c r="E7" s="3" t="s">
        <v>182</v>
      </c>
      <c r="F7" s="3" t="s">
        <v>239</v>
      </c>
      <c r="G7" s="3" t="s">
        <v>153</v>
      </c>
      <c r="H7" s="5" t="s">
        <v>422</v>
      </c>
      <c r="I7" s="3" t="s">
        <v>415</v>
      </c>
      <c r="J7" s="3" t="s">
        <v>117</v>
      </c>
      <c r="K7" s="3">
        <v>0</v>
      </c>
      <c r="L7" s="3" t="s">
        <v>116</v>
      </c>
      <c r="M7" s="3">
        <v>1</v>
      </c>
      <c r="N7" s="3" t="s">
        <v>423</v>
      </c>
      <c r="O7" s="3" t="s">
        <v>417</v>
      </c>
    </row>
    <row r="8" ht="24.4" customHeight="1" spans="1:15">
      <c r="A8" s="3">
        <v>5</v>
      </c>
      <c r="B8" s="3" t="s">
        <v>424</v>
      </c>
      <c r="C8" s="3">
        <v>1</v>
      </c>
      <c r="D8" s="3" t="s">
        <v>425</v>
      </c>
      <c r="E8" s="3" t="s">
        <v>112</v>
      </c>
      <c r="F8" s="3" t="s">
        <v>113</v>
      </c>
      <c r="G8" s="3" t="s">
        <v>114</v>
      </c>
      <c r="H8" s="3" t="s">
        <v>426</v>
      </c>
      <c r="I8" s="3" t="s">
        <v>427</v>
      </c>
      <c r="J8" s="3" t="s">
        <v>323</v>
      </c>
      <c r="K8" s="3">
        <v>1</v>
      </c>
      <c r="L8" s="3" t="s">
        <v>323</v>
      </c>
      <c r="M8" s="3">
        <v>1</v>
      </c>
      <c r="N8" s="3" t="s">
        <v>428</v>
      </c>
      <c r="O8" s="3" t="s">
        <v>417</v>
      </c>
    </row>
    <row r="9" ht="24.4" customHeight="1" spans="1:15">
      <c r="A9" s="3">
        <v>6</v>
      </c>
      <c r="B9" s="3" t="s">
        <v>424</v>
      </c>
      <c r="C9" s="3">
        <v>8</v>
      </c>
      <c r="D9" s="3" t="s">
        <v>429</v>
      </c>
      <c r="E9" s="3" t="s">
        <v>112</v>
      </c>
      <c r="F9" s="3" t="s">
        <v>142</v>
      </c>
      <c r="G9" s="3" t="s">
        <v>114</v>
      </c>
      <c r="H9" s="3" t="s">
        <v>430</v>
      </c>
      <c r="I9" s="3" t="s">
        <v>427</v>
      </c>
      <c r="J9" s="3" t="s">
        <v>335</v>
      </c>
      <c r="K9" s="3">
        <v>0</v>
      </c>
      <c r="L9" s="3" t="s">
        <v>335</v>
      </c>
      <c r="M9" s="3">
        <v>0</v>
      </c>
      <c r="N9" s="3" t="s">
        <v>431</v>
      </c>
      <c r="O9" s="3" t="s">
        <v>417</v>
      </c>
    </row>
    <row r="10" ht="24.4" customHeight="1" spans="1:15">
      <c r="A10" s="3">
        <v>7</v>
      </c>
      <c r="B10" s="3" t="s">
        <v>424</v>
      </c>
      <c r="C10" s="3">
        <v>21</v>
      </c>
      <c r="D10" s="3" t="s">
        <v>432</v>
      </c>
      <c r="E10" s="3" t="s">
        <v>182</v>
      </c>
      <c r="F10" s="3" t="s">
        <v>194</v>
      </c>
      <c r="G10" s="3" t="s">
        <v>114</v>
      </c>
      <c r="H10" s="3" t="s">
        <v>433</v>
      </c>
      <c r="I10" s="3" t="s">
        <v>427</v>
      </c>
      <c r="J10" s="3" t="s">
        <v>335</v>
      </c>
      <c r="K10" s="3">
        <v>0</v>
      </c>
      <c r="L10" s="3" t="s">
        <v>335</v>
      </c>
      <c r="M10" s="3">
        <v>0</v>
      </c>
      <c r="N10" s="3" t="s">
        <v>434</v>
      </c>
      <c r="O10" s="3" t="s">
        <v>417</v>
      </c>
    </row>
    <row r="11" ht="24.4" customHeight="1" spans="1:15">
      <c r="A11" s="3">
        <v>8</v>
      </c>
      <c r="B11" s="3" t="s">
        <v>424</v>
      </c>
      <c r="C11" s="3">
        <v>36</v>
      </c>
      <c r="D11" s="3" t="s">
        <v>435</v>
      </c>
      <c r="E11" s="3" t="s">
        <v>251</v>
      </c>
      <c r="F11" s="3" t="s">
        <v>239</v>
      </c>
      <c r="G11" s="3" t="s">
        <v>114</v>
      </c>
      <c r="H11" s="3" t="s">
        <v>436</v>
      </c>
      <c r="I11" s="3" t="s">
        <v>427</v>
      </c>
      <c r="J11" s="3" t="s">
        <v>335</v>
      </c>
      <c r="K11" s="3">
        <v>0</v>
      </c>
      <c r="L11" s="3" t="s">
        <v>335</v>
      </c>
      <c r="M11" s="3">
        <v>0</v>
      </c>
      <c r="N11" s="3" t="s">
        <v>437</v>
      </c>
      <c r="O11" s="3" t="s">
        <v>417</v>
      </c>
    </row>
  </sheetData>
  <mergeCells count="1">
    <mergeCell ref="A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Codebook</vt:lpstr>
      <vt:lpstr>题库总表</vt:lpstr>
      <vt:lpstr>Exp2_多目标采购</vt:lpstr>
      <vt:lpstr>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秀儿</cp:lastModifiedBy>
  <dcterms:created xsi:type="dcterms:W3CDTF">2026-04-24T16:42:00Z</dcterms:created>
  <dcterms:modified xsi:type="dcterms:W3CDTF">2026-04-24T18:24:15Z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A89D4E9DACE048C8A24A61A5122B2D25_12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